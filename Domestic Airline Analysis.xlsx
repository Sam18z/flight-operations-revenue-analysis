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ivap\Downloads\"/>
    </mc:Choice>
  </mc:AlternateContent>
  <xr:revisionPtr revIDLastSave="0" documentId="13_ncr:1_{AA53A944-1672-4F4E-9734-37C96418B0C3}" xr6:coauthVersionLast="47" xr6:coauthVersionMax="47" xr10:uidLastSave="{00000000-0000-0000-0000-000000000000}"/>
  <bookViews>
    <workbookView xWindow="1920" yWindow="1920" windowWidth="17280" windowHeight="8880" activeTab="3" xr2:uid="{00000000-000D-0000-FFFF-FFFF00000000}"/>
  </bookViews>
  <sheets>
    <sheet name="Raw Data" sheetId="1" r:id="rId1"/>
    <sheet name="Calculations" sheetId="3" r:id="rId2"/>
    <sheet name="Pivot " sheetId="5" r:id="rId3"/>
    <sheet name="Dashboard" sheetId="6" r:id="rId4"/>
  </sheets>
  <definedNames>
    <definedName name="_xlnm._FilterDatabase" localSheetId="1" hidden="1">Calculations!$A$1:$K$1</definedName>
    <definedName name="_xlnm._FilterDatabase" localSheetId="0" hidden="1">'Raw Data'!$A$1:$K$101</definedName>
    <definedName name="Slicer_Airline">#N/A</definedName>
    <definedName name="Slicer_Month">#N/A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3" l="1"/>
  <c r="T7" i="3"/>
  <c r="O13" i="3"/>
  <c r="O12" i="3"/>
  <c r="O11" i="3"/>
  <c r="N11" i="3"/>
  <c r="N12" i="3"/>
  <c r="N4" i="3"/>
  <c r="O4" i="3"/>
  <c r="O6" i="3"/>
  <c r="O5" i="3"/>
  <c r="N6" i="3"/>
  <c r="N5" i="3"/>
  <c r="R7" i="3"/>
  <c r="T10" i="3"/>
  <c r="R13" i="3"/>
  <c r="T4" i="3"/>
  <c r="R10" i="3"/>
  <c r="R4" i="3"/>
</calcChain>
</file>

<file path=xl/sharedStrings.xml><?xml version="1.0" encoding="utf-8"?>
<sst xmlns="http://schemas.openxmlformats.org/spreadsheetml/2006/main" count="688" uniqueCount="43">
  <si>
    <t>Month</t>
  </si>
  <si>
    <t>Airline</t>
  </si>
  <si>
    <t>Region</t>
  </si>
  <si>
    <t>Total Flights</t>
  </si>
  <si>
    <t>Total Passengers</t>
  </si>
  <si>
    <t>Ticket Price</t>
  </si>
  <si>
    <t>Total Revenue</t>
  </si>
  <si>
    <t>Operating Cost</t>
  </si>
  <si>
    <t>Profit</t>
  </si>
  <si>
    <t>On-Time Flights</t>
  </si>
  <si>
    <t>Delayed Flights</t>
  </si>
  <si>
    <t>October</t>
  </si>
  <si>
    <t>Vistara</t>
  </si>
  <si>
    <t>South</t>
  </si>
  <si>
    <t>IndiGo</t>
  </si>
  <si>
    <t>Air India</t>
  </si>
  <si>
    <t>North</t>
  </si>
  <si>
    <t>West</t>
  </si>
  <si>
    <t>East</t>
  </si>
  <si>
    <t>November</t>
  </si>
  <si>
    <t>December</t>
  </si>
  <si>
    <t>January</t>
  </si>
  <si>
    <t>Airlines</t>
  </si>
  <si>
    <t>Total Airlines</t>
  </si>
  <si>
    <t>Total Profit</t>
  </si>
  <si>
    <t>On Time Flights</t>
  </si>
  <si>
    <t xml:space="preserve">Flight Status </t>
  </si>
  <si>
    <t>On-Time</t>
  </si>
  <si>
    <t>Delayed</t>
  </si>
  <si>
    <t>Profit Margin</t>
  </si>
  <si>
    <t>Revenue</t>
  </si>
  <si>
    <t>Row Labels</t>
  </si>
  <si>
    <t>Grand Total</t>
  </si>
  <si>
    <t>Sum of Total Revenue</t>
  </si>
  <si>
    <t>Sum of Profit</t>
  </si>
  <si>
    <t>Airlines performance</t>
  </si>
  <si>
    <t>Sum of Total Passengers</t>
  </si>
  <si>
    <t>Sum of Delayed Flights</t>
  </si>
  <si>
    <t>Monthly Performance</t>
  </si>
  <si>
    <t>Month Revenue</t>
  </si>
  <si>
    <t>Region Analysis</t>
  </si>
  <si>
    <t>Flight Status</t>
  </si>
  <si>
    <t>Sum of Total Flights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</si>
</sst>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 Cr&quot;"/>
    <numFmt numFmtId="165" formatCode="0.00&quot; L&quot;"/>
  </numFmts>
  <fonts count="6" x14ac:knownFonts="1">
    <font>
      <sz val="11"/>
      <color theme="1"/>
      <name val="Calibri"/>
      <family val="2"/>
      <scheme val="minor"/>
    </font>
    <font>
      <b/>
      <sz val="11"/>
      <name val="Calibri"/>
      <family val="2"/>
    </font>
    <font>
      <b/>
      <sz val="12"/>
      <color theme="1"/>
      <name val="Calibri"/>
      <family val="2"/>
      <scheme val="minor"/>
    </font>
    <font>
      <b/>
      <sz val="12"/>
      <color theme="0"/>
      <name val="Calibri"/>
      <family val="2"/>
      <scheme val="minor"/>
    </font>
    <font>
      <sz val="12"/>
      <color theme="0"/>
      <name val="Calibri"/>
      <family val="2"/>
      <scheme val="minor"/>
    </font>
    <font>
      <b/>
      <sz val="14"/>
      <color rgb="FF002060"/>
      <name val="Aptos Narrow"/>
      <family val="2"/>
    </font>
  </fonts>
  <fills count="6">
    <fill>
      <patternFill patternType="none"/>
    </fill>
    <fill>
      <patternFill patternType="gray125"/>
    </fill>
    <fill>
      <patternFill patternType="solid">
        <fgColor rgb="FFD9EAF7"/>
      </patternFill>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0" fillId="0" borderId="1" xfId="0" applyBorder="1"/>
    <xf numFmtId="3" fontId="0" fillId="0" borderId="1" xfId="0" applyNumberFormat="1" applyBorder="1"/>
    <xf numFmtId="0" fontId="3" fillId="3" borderId="1" xfId="0" applyFont="1" applyFill="1" applyBorder="1"/>
    <xf numFmtId="0" fontId="2" fillId="4" borderId="0" xfId="0" applyFont="1" applyFill="1"/>
    <xf numFmtId="0" fontId="4"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0" fontId="5" fillId="5" borderId="0" xfId="0" applyFont="1" applyFill="1"/>
    <xf numFmtId="1" fontId="0" fillId="0" borderId="0" xfId="0" applyNumberFormat="1"/>
    <xf numFmtId="165" fontId="0" fillId="0" borderId="0" xfId="0" applyNumberFormat="1"/>
    <xf numFmtId="0" fontId="0" fillId="0" borderId="0" xfId="0" applyNumberFormat="1"/>
    <xf numFmtId="0" fontId="0" fillId="0" borderId="0" xfId="0" applyFont="1" applyAlignment="1">
      <alignment horizontal="left"/>
    </xf>
  </cellXfs>
  <cellStyles count="1">
    <cellStyle name="Normal" xfId="0" builtinId="0"/>
  </cellStyles>
  <dxfs count="8">
    <dxf>
      <numFmt numFmtId="1" formatCode="0"/>
    </dxf>
    <dxf>
      <numFmt numFmtId="164" formatCode="0.00,,,&quot; Cr&quot;"/>
    </dxf>
    <dxf>
      <numFmt numFmtId="164" formatCode="0.00,,,&quot; Cr&quot;"/>
    </dxf>
    <dxf>
      <font>
        <b val="0"/>
      </font>
    </dxf>
    <dxf>
      <numFmt numFmtId="164" formatCode="0.00,,,&quot; Cr&quot;"/>
    </dxf>
    <dxf>
      <numFmt numFmtId="164" formatCode="0.00,,,&quot; Cr&quot;"/>
    </dxf>
    <dxf>
      <numFmt numFmtId="164" formatCode="0.00,,,&quot; Cr&quot;"/>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[Domestic Airline Analysis.xlsx]Pivot !PivotTable7</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'!$C$4</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'!$B$5:$B$8</c:f>
              <c:strCache>
                <c:ptCount val="3"/>
                <c:pt idx="0">
                  <c:v>Air India</c:v>
                </c:pt>
                <c:pt idx="1">
                  <c:v>IndiGo</c:v>
                </c:pt>
                <c:pt idx="2">
                  <c:v>Vistara</c:v>
                </c:pt>
              </c:strCache>
            </c:strRef>
          </c:cat>
          <c:val>
            <c:numRef>
              <c:f>'Pivot '!$C$5:$C$8</c:f>
              <c:numCache>
                <c:formatCode>0.00,,," Cr"</c:formatCode>
                <c:ptCount val="3"/>
                <c:pt idx="0">
                  <c:v>2850381558</c:v>
                </c:pt>
                <c:pt idx="1">
                  <c:v>2467271800</c:v>
                </c:pt>
                <c:pt idx="2">
                  <c:v>2688742600</c:v>
                </c:pt>
              </c:numCache>
            </c:numRef>
          </c:val>
          <c:extLst>
            <c:ext xmlns:c16="http://schemas.microsoft.com/office/drawing/2014/chart" uri="{C3380CC4-5D6E-409C-BE32-E72D297353CC}">
              <c16:uniqueId val="{00000000-25F8-407C-A2C2-E9AFF80E32FA}"/>
            </c:ext>
          </c:extLst>
        </c:ser>
        <c:dLbls>
          <c:showLegendKey val="0"/>
          <c:showVal val="0"/>
          <c:showCatName val="0"/>
          <c:showSerName val="0"/>
          <c:showPercent val="0"/>
          <c:showBubbleSize val="0"/>
        </c:dLbls>
        <c:gapWidth val="100"/>
        <c:axId val="482544207"/>
        <c:axId val="298701615"/>
      </c:barChart>
      <c:catAx>
        <c:axId val="4825442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8701615"/>
        <c:crosses val="autoZero"/>
        <c:auto val="1"/>
        <c:lblAlgn val="ctr"/>
        <c:lblOffset val="100"/>
        <c:noMultiLvlLbl val="0"/>
      </c:catAx>
      <c:valAx>
        <c:axId val="298701615"/>
        <c:scaling>
          <c:orientation val="minMax"/>
        </c:scaling>
        <c:delete val="0"/>
        <c:axPos val="l"/>
        <c:majorGridlines>
          <c:spPr>
            <a:ln w="9525" cap="flat" cmpd="sng" algn="ctr">
              <a:solidFill>
                <a:schemeClr val="tx2">
                  <a:lumMod val="15000"/>
                  <a:lumOff val="85000"/>
                </a:schemeClr>
              </a:solidFill>
              <a:round/>
            </a:ln>
            <a:effectLst/>
          </c:spPr>
        </c:majorGridlines>
        <c:numFmt formatCode="0.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2544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[Domestic Airline Analysis.xlsx]Pivot !PivotTable8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'!$G$4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'!$F$5:$F$9</c:f>
              <c:strCache>
                <c:ptCount val="4"/>
                <c:pt idx="0">
                  <c:v>January</c:v>
                </c:pt>
                <c:pt idx="1">
                  <c:v>October</c:v>
                </c:pt>
                <c:pt idx="2">
                  <c:v>November</c:v>
                </c:pt>
                <c:pt idx="3">
                  <c:v>December</c:v>
                </c:pt>
              </c:strCache>
            </c:strRef>
          </c:cat>
          <c:val>
            <c:numRef>
              <c:f>'Pivot '!$G$5:$G$9</c:f>
              <c:numCache>
                <c:formatCode>0.00,,," Cr"</c:formatCode>
                <c:ptCount val="4"/>
                <c:pt idx="0">
                  <c:v>458441147</c:v>
                </c:pt>
                <c:pt idx="1">
                  <c:v>449212566</c:v>
                </c:pt>
                <c:pt idx="2">
                  <c:v>473207030</c:v>
                </c:pt>
                <c:pt idx="3">
                  <c:v>429668821</c:v>
                </c:pt>
              </c:numCache>
            </c:numRef>
          </c:val>
          <c:smooth val="0"/>
          <c:extLst>
            <c:ext xmlns:c16="http://schemas.microsoft.com/office/drawing/2014/chart" uri="{C3380CC4-5D6E-409C-BE32-E72D297353CC}">
              <c16:uniqueId val="{00000000-CFAF-4EB8-95B7-884ED5BD496F}"/>
            </c:ext>
          </c:extLst>
        </c:ser>
        <c:dLbls>
          <c:showLegendKey val="0"/>
          <c:showVal val="0"/>
          <c:showCatName val="0"/>
          <c:showSerName val="0"/>
          <c:showPercent val="0"/>
          <c:showBubbleSize val="0"/>
        </c:dLbls>
        <c:marker val="1"/>
        <c:smooth val="0"/>
        <c:axId val="265123615"/>
        <c:axId val="298756335"/>
      </c:lineChart>
      <c:catAx>
        <c:axId val="2651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56335"/>
        <c:crosses val="autoZero"/>
        <c:auto val="1"/>
        <c:lblAlgn val="ctr"/>
        <c:lblOffset val="100"/>
        <c:noMultiLvlLbl val="0"/>
      </c:catAx>
      <c:valAx>
        <c:axId val="298756335"/>
        <c:scaling>
          <c:orientation val="minMax"/>
        </c:scaling>
        <c:delete val="0"/>
        <c:axPos val="l"/>
        <c:majorGridlines>
          <c:spPr>
            <a:ln w="9525" cap="flat" cmpd="sng" algn="ctr">
              <a:solidFill>
                <a:schemeClr val="tx1">
                  <a:lumMod val="15000"/>
                  <a:lumOff val="85000"/>
                </a:schemeClr>
              </a:solidFill>
              <a:round/>
            </a:ln>
            <a:effectLst/>
          </c:spPr>
        </c:majorGridlines>
        <c:numFmt formatCode="0.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2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[Domestic Airline Analysis.xlsx]Pivot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'!$C$28</c:f>
              <c:strCache>
                <c:ptCount val="1"/>
                <c:pt idx="0">
                  <c:v>Total</c:v>
                </c:pt>
              </c:strCache>
            </c:strRef>
          </c:tx>
          <c:spPr>
            <a:solidFill>
              <a:schemeClr val="accent3"/>
            </a:solidFill>
            <a:ln>
              <a:noFill/>
            </a:ln>
            <a:effectLst/>
          </c:spPr>
          <c:invertIfNegative val="0"/>
          <c:cat>
            <c:strRef>
              <c:f>'Pivot '!$B$29:$B$33</c:f>
              <c:strCache>
                <c:ptCount val="4"/>
                <c:pt idx="0">
                  <c:v>East</c:v>
                </c:pt>
                <c:pt idx="1">
                  <c:v>North</c:v>
                </c:pt>
                <c:pt idx="2">
                  <c:v>South</c:v>
                </c:pt>
                <c:pt idx="3">
                  <c:v>West</c:v>
                </c:pt>
              </c:strCache>
            </c:strRef>
          </c:cat>
          <c:val>
            <c:numRef>
              <c:f>'Pivot '!$C$29:$C$33</c:f>
              <c:numCache>
                <c:formatCode>0.00,,," Cr"</c:formatCode>
                <c:ptCount val="4"/>
                <c:pt idx="0">
                  <c:v>1492996790</c:v>
                </c:pt>
                <c:pt idx="1">
                  <c:v>1820660570</c:v>
                </c:pt>
                <c:pt idx="2">
                  <c:v>1945120648</c:v>
                </c:pt>
                <c:pt idx="3">
                  <c:v>2747617950</c:v>
                </c:pt>
              </c:numCache>
            </c:numRef>
          </c:val>
          <c:extLst>
            <c:ext xmlns:c16="http://schemas.microsoft.com/office/drawing/2014/chart" uri="{C3380CC4-5D6E-409C-BE32-E72D297353CC}">
              <c16:uniqueId val="{00000001-E9F1-427C-872F-856A60FAA736}"/>
            </c:ext>
          </c:extLst>
        </c:ser>
        <c:dLbls>
          <c:showLegendKey val="0"/>
          <c:showVal val="0"/>
          <c:showCatName val="0"/>
          <c:showSerName val="0"/>
          <c:showPercent val="0"/>
          <c:showBubbleSize val="0"/>
        </c:dLbls>
        <c:gapWidth val="219"/>
        <c:overlap val="-27"/>
        <c:axId val="2091405216"/>
        <c:axId val="44686095"/>
      </c:barChart>
      <c:catAx>
        <c:axId val="209140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6095"/>
        <c:crosses val="autoZero"/>
        <c:auto val="1"/>
        <c:lblAlgn val="ctr"/>
        <c:lblOffset val="100"/>
        <c:noMultiLvlLbl val="0"/>
      </c:catAx>
      <c:valAx>
        <c:axId val="44686095"/>
        <c:scaling>
          <c:orientation val="minMax"/>
        </c:scaling>
        <c:delete val="0"/>
        <c:axPos val="l"/>
        <c:majorGridlines>
          <c:spPr>
            <a:ln w="9525" cap="flat" cmpd="sng" algn="ctr">
              <a:solidFill>
                <a:schemeClr val="tx1">
                  <a:lumMod val="15000"/>
                  <a:lumOff val="85000"/>
                </a:schemeClr>
              </a:solidFill>
              <a:round/>
            </a:ln>
            <a:effectLst/>
          </c:spPr>
        </c:majorGridlines>
        <c:numFmt formatCode="0.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4052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[Domestic Airline Analysis.xlsx]Pivot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65000"/>
            </a:schemeClr>
          </a:solidFill>
          <a:ln>
            <a:noFill/>
          </a:ln>
          <a:effectLst/>
        </c:spPr>
      </c:pivotFmt>
      <c:pivotFmt>
        <c:idx val="2"/>
        <c:spPr>
          <a:solidFill>
            <a:schemeClr val="accent3"/>
          </a:solidFill>
          <a:ln>
            <a:noFill/>
          </a:ln>
          <a:effectLst/>
        </c:spPr>
      </c:pivotFmt>
      <c:pivotFmt>
        <c:idx val="3"/>
        <c:spPr>
          <a:solidFill>
            <a:schemeClr val="accent3">
              <a:tint val="65000"/>
            </a:schemeClr>
          </a:solidFill>
          <a:ln>
            <a:noFill/>
          </a:ln>
          <a:effectLst/>
        </c:spPr>
      </c:pivotFmt>
      <c:pivotFmt>
        <c:idx val="4"/>
        <c:spPr>
          <a:solidFill>
            <a:schemeClr val="accent3">
              <a:shade val="65000"/>
            </a:schemeClr>
          </a:solidFill>
          <a:ln>
            <a:noFill/>
          </a:ln>
          <a:effectLst/>
        </c:spPr>
      </c:pivotFmt>
      <c:pivotFmt>
        <c:idx val="5"/>
        <c:spPr>
          <a:solidFill>
            <a:schemeClr val="accent3"/>
          </a:solidFill>
          <a:ln>
            <a:noFill/>
          </a:ln>
          <a:effectLst/>
        </c:spPr>
      </c:pivotFmt>
      <c:pivotFmt>
        <c:idx val="6"/>
        <c:spPr>
          <a:solidFill>
            <a:schemeClr val="accent3">
              <a:tint val="65000"/>
            </a:schemeClr>
          </a:solidFill>
          <a:ln>
            <a:noFill/>
          </a:ln>
          <a:effectLst/>
        </c:spPr>
      </c:pivotFmt>
    </c:pivotFmts>
    <c:plotArea>
      <c:layout/>
      <c:doughnutChart>
        <c:varyColors val="1"/>
        <c:ser>
          <c:idx val="0"/>
          <c:order val="0"/>
          <c:tx>
            <c:strRef>
              <c:f>'Pivot '!$G$28</c:f>
              <c:strCache>
                <c:ptCount val="1"/>
                <c:pt idx="0">
                  <c:v>Total</c:v>
                </c:pt>
              </c:strCache>
            </c:strRef>
          </c:tx>
          <c:dPt>
            <c:idx val="0"/>
            <c:bubble3D val="0"/>
            <c:spPr>
              <a:solidFill>
                <a:schemeClr val="accent3">
                  <a:shade val="65000"/>
                </a:schemeClr>
              </a:solidFill>
              <a:ln>
                <a:noFill/>
              </a:ln>
              <a:effectLst/>
            </c:spPr>
            <c:extLst>
              <c:ext xmlns:c16="http://schemas.microsoft.com/office/drawing/2014/chart" uri="{C3380CC4-5D6E-409C-BE32-E72D297353CC}">
                <c16:uniqueId val="{00000001-1E06-4F70-B254-665B044DC477}"/>
              </c:ext>
            </c:extLst>
          </c:dPt>
          <c:dPt>
            <c:idx val="1"/>
            <c:bubble3D val="0"/>
            <c:spPr>
              <a:solidFill>
                <a:schemeClr val="accent3"/>
              </a:solidFill>
              <a:ln>
                <a:noFill/>
              </a:ln>
              <a:effectLst/>
            </c:spPr>
            <c:extLst>
              <c:ext xmlns:c16="http://schemas.microsoft.com/office/drawing/2014/chart" uri="{C3380CC4-5D6E-409C-BE32-E72D297353CC}">
                <c16:uniqueId val="{00000003-1E06-4F70-B254-665B044DC477}"/>
              </c:ext>
            </c:extLst>
          </c:dPt>
          <c:dPt>
            <c:idx val="2"/>
            <c:bubble3D val="0"/>
            <c:spPr>
              <a:solidFill>
                <a:schemeClr val="accent3">
                  <a:tint val="65000"/>
                </a:schemeClr>
              </a:solidFill>
              <a:ln>
                <a:noFill/>
              </a:ln>
              <a:effectLst/>
            </c:spPr>
            <c:extLst>
              <c:ext xmlns:c16="http://schemas.microsoft.com/office/drawing/2014/chart" uri="{C3380CC4-5D6E-409C-BE32-E72D297353CC}">
                <c16:uniqueId val="{00000005-1E06-4F70-B254-665B044DC477}"/>
              </c:ext>
            </c:extLst>
          </c:dPt>
          <c:cat>
            <c:strRef>
              <c:f>'Pivot '!$F$29:$F$32</c:f>
              <c:strCache>
                <c:ptCount val="3"/>
                <c:pt idx="0">
                  <c:v>Air India</c:v>
                </c:pt>
                <c:pt idx="1">
                  <c:v>IndiGo</c:v>
                </c:pt>
                <c:pt idx="2">
                  <c:v>Vistara</c:v>
                </c:pt>
              </c:strCache>
            </c:strRef>
          </c:cat>
          <c:val>
            <c:numRef>
              <c:f>'Pivot '!$G$29:$G$32</c:f>
              <c:numCache>
                <c:formatCode>General</c:formatCode>
                <c:ptCount val="3"/>
                <c:pt idx="0">
                  <c:v>360</c:v>
                </c:pt>
                <c:pt idx="1">
                  <c:v>295</c:v>
                </c:pt>
                <c:pt idx="2">
                  <c:v>323</c:v>
                </c:pt>
              </c:numCache>
            </c:numRef>
          </c:val>
          <c:extLst>
            <c:ext xmlns:c16="http://schemas.microsoft.com/office/drawing/2014/chart" uri="{C3380CC4-5D6E-409C-BE32-E72D297353CC}">
              <c16:uniqueId val="{00000000-0986-4EF2-B818-DE6415F6256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[Domestic Airline Analysis.xlsx]Pivot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'!$K$28</c:f>
              <c:strCache>
                <c:ptCount val="1"/>
                <c:pt idx="0">
                  <c:v>Total</c:v>
                </c:pt>
              </c:strCache>
            </c:strRef>
          </c:tx>
          <c:spPr>
            <a:solidFill>
              <a:schemeClr val="accent3"/>
            </a:solidFill>
            <a:ln>
              <a:noFill/>
            </a:ln>
            <a:effectLst/>
          </c:spPr>
          <c:invertIfNegative val="0"/>
          <c:cat>
            <c:strRef>
              <c:f>'Pivot '!$J$29:$J$33</c:f>
              <c:strCache>
                <c:ptCount val="4"/>
                <c:pt idx="0">
                  <c:v>January</c:v>
                </c:pt>
                <c:pt idx="1">
                  <c:v>October</c:v>
                </c:pt>
                <c:pt idx="2">
                  <c:v>November</c:v>
                </c:pt>
                <c:pt idx="3">
                  <c:v>December</c:v>
                </c:pt>
              </c:strCache>
            </c:strRef>
          </c:cat>
          <c:val>
            <c:numRef>
              <c:f>'Pivot '!$K$29:$K$33</c:f>
              <c:numCache>
                <c:formatCode>General</c:formatCode>
                <c:ptCount val="4"/>
                <c:pt idx="0">
                  <c:v>2545</c:v>
                </c:pt>
                <c:pt idx="1">
                  <c:v>2596</c:v>
                </c:pt>
                <c:pt idx="2">
                  <c:v>2269</c:v>
                </c:pt>
                <c:pt idx="3">
                  <c:v>2307</c:v>
                </c:pt>
              </c:numCache>
            </c:numRef>
          </c:val>
          <c:extLst>
            <c:ext xmlns:c16="http://schemas.microsoft.com/office/drawing/2014/chart" uri="{C3380CC4-5D6E-409C-BE32-E72D297353CC}">
              <c16:uniqueId val="{00000000-89E5-4EDB-89F5-57222B12B930}"/>
            </c:ext>
          </c:extLst>
        </c:ser>
        <c:dLbls>
          <c:showLegendKey val="0"/>
          <c:showVal val="0"/>
          <c:showCatName val="0"/>
          <c:showSerName val="0"/>
          <c:showPercent val="0"/>
          <c:showBubbleSize val="0"/>
        </c:dLbls>
        <c:gapWidth val="219"/>
        <c:overlap val="-27"/>
        <c:axId val="474014863"/>
        <c:axId val="44529135"/>
      </c:barChart>
      <c:catAx>
        <c:axId val="47401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29135"/>
        <c:crosses val="autoZero"/>
        <c:auto val="1"/>
        <c:lblAlgn val="ctr"/>
        <c:lblOffset val="100"/>
        <c:noMultiLvlLbl val="0"/>
      </c:catAx>
      <c:valAx>
        <c:axId val="4452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1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[Domestic Airline Analysis.xlsx]Pivot !PivotTable6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'!$K$4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'!$J$5:$J$8</c:f>
              <c:strCache>
                <c:ptCount val="3"/>
                <c:pt idx="0">
                  <c:v>Air India</c:v>
                </c:pt>
                <c:pt idx="1">
                  <c:v>IndiGo</c:v>
                </c:pt>
                <c:pt idx="2">
                  <c:v>Vistara</c:v>
                </c:pt>
              </c:strCache>
            </c:strRef>
          </c:cat>
          <c:val>
            <c:numRef>
              <c:f>'Pivot '!$K$5:$K$8</c:f>
              <c:numCache>
                <c:formatCode>General</c:formatCode>
                <c:ptCount val="3"/>
                <c:pt idx="0">
                  <c:v>432608</c:v>
                </c:pt>
                <c:pt idx="1">
                  <c:v>373011</c:v>
                </c:pt>
                <c:pt idx="2">
                  <c:v>401500</c:v>
                </c:pt>
              </c:numCache>
            </c:numRef>
          </c:val>
          <c:extLst>
            <c:ext xmlns:c16="http://schemas.microsoft.com/office/drawing/2014/chart" uri="{C3380CC4-5D6E-409C-BE32-E72D297353CC}">
              <c16:uniqueId val="{00000000-88FC-444C-908B-0619AA5D8951}"/>
            </c:ext>
          </c:extLst>
        </c:ser>
        <c:dLbls>
          <c:dLblPos val="outEnd"/>
          <c:showLegendKey val="0"/>
          <c:showVal val="1"/>
          <c:showCatName val="0"/>
          <c:showSerName val="0"/>
          <c:showPercent val="0"/>
          <c:showBubbleSize val="0"/>
        </c:dLbls>
        <c:gapWidth val="326"/>
        <c:overlap val="-58"/>
        <c:axId val="1975676511"/>
        <c:axId val="1719684687"/>
      </c:barChart>
      <c:catAx>
        <c:axId val="1975676511"/>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84687"/>
        <c:crosses val="autoZero"/>
        <c:auto val="1"/>
        <c:lblAlgn val="ctr"/>
        <c:lblOffset val="100"/>
        <c:noMultiLvlLbl val="0"/>
      </c:catAx>
      <c:valAx>
        <c:axId val="1719684687"/>
        <c:scaling>
          <c:orientation val="minMax"/>
        </c:scaling>
        <c:delete val="1"/>
        <c:axPos val="b"/>
        <c:numFmt formatCode="General" sourceLinked="1"/>
        <c:majorTickMark val="none"/>
        <c:minorTickMark val="none"/>
        <c:tickLblPos val="nextTo"/>
        <c:crossAx val="197567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[Domestic Airline Analysis.xlsx]Pivot !PivotTable7</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'!$B$5:$B$8</c:f>
              <c:strCache>
                <c:ptCount val="3"/>
                <c:pt idx="0">
                  <c:v>Air India</c:v>
                </c:pt>
                <c:pt idx="1">
                  <c:v>IndiGo</c:v>
                </c:pt>
                <c:pt idx="2">
                  <c:v>Vistara</c:v>
                </c:pt>
              </c:strCache>
            </c:strRef>
          </c:cat>
          <c:val>
            <c:numRef>
              <c:f>'Pivot '!$C$5:$C$8</c:f>
              <c:numCache>
                <c:formatCode>0.00,,," Cr"</c:formatCode>
                <c:ptCount val="3"/>
                <c:pt idx="0">
                  <c:v>2850381558</c:v>
                </c:pt>
                <c:pt idx="1">
                  <c:v>2467271800</c:v>
                </c:pt>
                <c:pt idx="2">
                  <c:v>2688742600</c:v>
                </c:pt>
              </c:numCache>
            </c:numRef>
          </c:val>
          <c:extLst>
            <c:ext xmlns:c16="http://schemas.microsoft.com/office/drawing/2014/chart" uri="{C3380CC4-5D6E-409C-BE32-E72D297353CC}">
              <c16:uniqueId val="{00000000-4D4A-4F5F-82DB-C047F316109A}"/>
            </c:ext>
          </c:extLst>
        </c:ser>
        <c:dLbls>
          <c:dLblPos val="outEnd"/>
          <c:showLegendKey val="0"/>
          <c:showVal val="1"/>
          <c:showCatName val="0"/>
          <c:showSerName val="0"/>
          <c:showPercent val="0"/>
          <c:showBubbleSize val="0"/>
        </c:dLbls>
        <c:gapWidth val="100"/>
        <c:axId val="482544207"/>
        <c:axId val="298701615"/>
      </c:barChart>
      <c:catAx>
        <c:axId val="4825442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8701615"/>
        <c:crosses val="autoZero"/>
        <c:auto val="1"/>
        <c:lblAlgn val="ctr"/>
        <c:lblOffset val="100"/>
        <c:noMultiLvlLbl val="0"/>
      </c:catAx>
      <c:valAx>
        <c:axId val="298701615"/>
        <c:scaling>
          <c:orientation val="minMax"/>
        </c:scaling>
        <c:delete val="1"/>
        <c:axPos val="l"/>
        <c:majorGridlines>
          <c:spPr>
            <a:ln w="9525" cap="flat" cmpd="sng" algn="ctr">
              <a:noFill/>
              <a:round/>
            </a:ln>
            <a:effectLst/>
          </c:spPr>
        </c:majorGridlines>
        <c:numFmt formatCode="0.00,,,&quot; Cr&quot;" sourceLinked="1"/>
        <c:majorTickMark val="out"/>
        <c:minorTickMark val="none"/>
        <c:tickLblPos val="nextTo"/>
        <c:crossAx val="48254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[Domestic Airline Analysis.xlsx]Pivot !PivotTable8</c:name>
    <c:fmtId val="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002060"/>
            </a:solidFill>
            <a:round/>
          </a:ln>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002060"/>
            </a:solidFill>
            <a:round/>
          </a:ln>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 '!$G$4</c:f>
              <c:strCache>
                <c:ptCount val="1"/>
                <c:pt idx="0">
                  <c:v>Total</c:v>
                </c:pt>
              </c:strCache>
            </c:strRef>
          </c:tx>
          <c:spPr>
            <a:ln w="34925" cap="rnd">
              <a:solidFill>
                <a:srgbClr val="002060"/>
              </a:solidFill>
              <a:round/>
            </a:ln>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'!$F$5:$F$9</c:f>
              <c:strCache>
                <c:ptCount val="4"/>
                <c:pt idx="0">
                  <c:v>January</c:v>
                </c:pt>
                <c:pt idx="1">
                  <c:v>October</c:v>
                </c:pt>
                <c:pt idx="2">
                  <c:v>November</c:v>
                </c:pt>
                <c:pt idx="3">
                  <c:v>December</c:v>
                </c:pt>
              </c:strCache>
            </c:strRef>
          </c:cat>
          <c:val>
            <c:numRef>
              <c:f>'Pivot '!$G$5:$G$9</c:f>
              <c:numCache>
                <c:formatCode>0.00,,," Cr"</c:formatCode>
                <c:ptCount val="4"/>
                <c:pt idx="0">
                  <c:v>458441147</c:v>
                </c:pt>
                <c:pt idx="1">
                  <c:v>449212566</c:v>
                </c:pt>
                <c:pt idx="2">
                  <c:v>473207030</c:v>
                </c:pt>
                <c:pt idx="3">
                  <c:v>429668821</c:v>
                </c:pt>
              </c:numCache>
            </c:numRef>
          </c:val>
          <c:smooth val="0"/>
          <c:extLst>
            <c:ext xmlns:c16="http://schemas.microsoft.com/office/drawing/2014/chart" uri="{C3380CC4-5D6E-409C-BE32-E72D297353CC}">
              <c16:uniqueId val="{00000000-8296-4768-9990-4CD1A61D0509}"/>
            </c:ext>
          </c:extLst>
        </c:ser>
        <c:dLbls>
          <c:dLblPos val="t"/>
          <c:showLegendKey val="0"/>
          <c:showVal val="1"/>
          <c:showCatName val="0"/>
          <c:showSerName val="0"/>
          <c:showPercent val="0"/>
          <c:showBubbleSize val="0"/>
        </c:dLbls>
        <c:dropLines>
          <c:spPr>
            <a:ln w="9525" cap="flat" cmpd="sng" algn="ctr">
              <a:solidFill>
                <a:srgbClr val="0070C0"/>
              </a:solidFill>
              <a:round/>
            </a:ln>
            <a:effectLst/>
          </c:spPr>
        </c:dropLines>
        <c:marker val="1"/>
        <c:smooth val="0"/>
        <c:axId val="265123615"/>
        <c:axId val="298756335"/>
      </c:lineChart>
      <c:catAx>
        <c:axId val="265123615"/>
        <c:scaling>
          <c:orientation val="minMax"/>
        </c:scaling>
        <c:delete val="0"/>
        <c:axPos val="b"/>
        <c:numFmt formatCode="General" sourceLinked="1"/>
        <c:majorTickMark val="none"/>
        <c:minorTickMark val="none"/>
        <c:tickLblPos val="nextTo"/>
        <c:spPr>
          <a:solidFill>
            <a:schemeClr val="bg1"/>
          </a:solidFill>
          <a:ln w="127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spc="100" baseline="0">
                <a:solidFill>
                  <a:srgbClr val="002060"/>
                </a:solidFill>
                <a:latin typeface="+mn-lt"/>
                <a:ea typeface="+mn-ea"/>
                <a:cs typeface="+mn-cs"/>
              </a:defRPr>
            </a:pPr>
            <a:endParaRPr lang="en-US"/>
          </a:p>
        </c:txPr>
        <c:crossAx val="298756335"/>
        <c:crosses val="autoZero"/>
        <c:auto val="1"/>
        <c:lblAlgn val="ctr"/>
        <c:lblOffset val="100"/>
        <c:noMultiLvlLbl val="0"/>
      </c:catAx>
      <c:valAx>
        <c:axId val="298756335"/>
        <c:scaling>
          <c:orientation val="minMax"/>
        </c:scaling>
        <c:delete val="1"/>
        <c:axPos val="l"/>
        <c:numFmt formatCode="0.00,,,&quot; Cr&quot;" sourceLinked="1"/>
        <c:majorTickMark val="none"/>
        <c:minorTickMark val="none"/>
        <c:tickLblPos val="nextTo"/>
        <c:crossAx val="265123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[Domestic Airline Analysis.xlsx]Pivot !PivotTable6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490601499411"/>
          <c:y val="0.15244441711053"/>
          <c:w val="0.73544798381508347"/>
          <c:h val="0.78732073359000754"/>
        </c:manualLayout>
      </c:layout>
      <c:barChart>
        <c:barDir val="bar"/>
        <c:grouping val="clustered"/>
        <c:varyColors val="0"/>
        <c:ser>
          <c:idx val="1"/>
          <c:order val="0"/>
          <c:tx>
            <c:strRef>
              <c:f>'Pivot '!$K$4</c:f>
              <c:strCache>
                <c:ptCount val="1"/>
                <c:pt idx="0">
                  <c:v>Total</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'!$J$5:$J$8</c:f>
              <c:strCache>
                <c:ptCount val="3"/>
                <c:pt idx="0">
                  <c:v>Air India</c:v>
                </c:pt>
                <c:pt idx="1">
                  <c:v>IndiGo</c:v>
                </c:pt>
                <c:pt idx="2">
                  <c:v>Vistara</c:v>
                </c:pt>
              </c:strCache>
            </c:strRef>
          </c:cat>
          <c:val>
            <c:numRef>
              <c:f>'Pivot '!$K$5:$K$8</c:f>
              <c:numCache>
                <c:formatCode>General</c:formatCode>
                <c:ptCount val="3"/>
                <c:pt idx="0">
                  <c:v>432608</c:v>
                </c:pt>
                <c:pt idx="1">
                  <c:v>373011</c:v>
                </c:pt>
                <c:pt idx="2">
                  <c:v>401500</c:v>
                </c:pt>
              </c:numCache>
            </c:numRef>
          </c:val>
          <c:extLst>
            <c:ext xmlns:c16="http://schemas.microsoft.com/office/drawing/2014/chart" uri="{C3380CC4-5D6E-409C-BE32-E72D297353CC}">
              <c16:uniqueId val="{00000003-EDE3-4C8F-9C10-2DE5ACC9E0E2}"/>
            </c:ext>
          </c:extLst>
        </c:ser>
        <c:dLbls>
          <c:dLblPos val="outEnd"/>
          <c:showLegendKey val="0"/>
          <c:showVal val="1"/>
          <c:showCatName val="0"/>
          <c:showSerName val="0"/>
          <c:showPercent val="0"/>
          <c:showBubbleSize val="0"/>
        </c:dLbls>
        <c:gapWidth val="182"/>
        <c:axId val="1975676511"/>
        <c:axId val="1719684687"/>
      </c:barChart>
      <c:catAx>
        <c:axId val="19756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84687"/>
        <c:crosses val="autoZero"/>
        <c:auto val="1"/>
        <c:lblAlgn val="ctr"/>
        <c:lblOffset val="100"/>
        <c:noMultiLvlLbl val="0"/>
      </c:catAx>
      <c:valAx>
        <c:axId val="1719684687"/>
        <c:scaling>
          <c:orientation val="minMax"/>
        </c:scaling>
        <c:delete val="1"/>
        <c:axPos val="b"/>
        <c:numFmt formatCode="General" sourceLinked="1"/>
        <c:majorTickMark val="none"/>
        <c:minorTickMark val="none"/>
        <c:tickLblPos val="nextTo"/>
        <c:crossAx val="1975676511"/>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[Domestic Airline Analysis.xlsx]Pivot !PivotTable3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a:noFill/>
          </a:ln>
          <a:effectLst/>
        </c:spPr>
        <c:dLbl>
          <c:idx val="0"/>
          <c:layout>
            <c:manualLayout>
              <c:x val="5.513133847603089E-2"/>
              <c:y val="6.39676300286888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9.4047577400287991E-2"/>
              <c:y val="9.062080920730926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2420"/>
                    <a:gd name="adj2" fmla="val -43325"/>
                  </a:avLst>
                </a:prstGeom>
                <a:noFill/>
                <a:ln>
                  <a:noFill/>
                </a:ln>
              </c15:spPr>
            </c:ext>
          </c:extLst>
        </c:dLbl>
      </c:pivotFmt>
      <c:pivotFmt>
        <c:idx val="8"/>
        <c:spPr>
          <a:solidFill>
            <a:schemeClr val="accent1">
              <a:tint val="65000"/>
            </a:schemeClr>
          </a:solidFill>
          <a:ln>
            <a:noFill/>
          </a:ln>
          <a:effectLst/>
        </c:spPr>
        <c:dLbl>
          <c:idx val="0"/>
          <c:layout>
            <c:manualLayout>
              <c:x val="-0.1426928760556094"/>
              <c:y val="5.3306358357240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7688"/>
                    <a:gd name="adj2" fmla="val -29671"/>
                  </a:avLst>
                </a:prstGeom>
                <a:noFill/>
                <a:ln>
                  <a:noFill/>
                </a:ln>
              </c15:spPr>
            </c:ext>
          </c:extLst>
        </c:dLbl>
      </c:pivotFmt>
    </c:pivotFmts>
    <c:plotArea>
      <c:layout/>
      <c:doughnutChart>
        <c:varyColors val="1"/>
        <c:ser>
          <c:idx val="0"/>
          <c:order val="0"/>
          <c:tx>
            <c:strRef>
              <c:f>'Pivot '!$G$28</c:f>
              <c:strCache>
                <c:ptCount val="1"/>
                <c:pt idx="0">
                  <c:v>Total</c:v>
                </c:pt>
              </c:strCache>
            </c:strRef>
          </c:tx>
          <c:dPt>
            <c:idx val="0"/>
            <c:bubble3D val="0"/>
            <c:spPr>
              <a:solidFill>
                <a:schemeClr val="accent1">
                  <a:shade val="65000"/>
                </a:schemeClr>
              </a:solidFill>
              <a:ln>
                <a:noFill/>
              </a:ln>
              <a:effectLst/>
            </c:spPr>
            <c:extLst>
              <c:ext xmlns:c16="http://schemas.microsoft.com/office/drawing/2014/chart" uri="{C3380CC4-5D6E-409C-BE32-E72D297353CC}">
                <c16:uniqueId val="{00000001-E746-49A4-8661-A261BC1F4352}"/>
              </c:ext>
            </c:extLst>
          </c:dPt>
          <c:dPt>
            <c:idx val="1"/>
            <c:bubble3D val="0"/>
            <c:spPr>
              <a:solidFill>
                <a:schemeClr val="accent1"/>
              </a:solidFill>
              <a:ln>
                <a:noFill/>
              </a:ln>
              <a:effectLst/>
            </c:spPr>
            <c:extLst>
              <c:ext xmlns:c16="http://schemas.microsoft.com/office/drawing/2014/chart" uri="{C3380CC4-5D6E-409C-BE32-E72D297353CC}">
                <c16:uniqueId val="{00000003-E746-49A4-8661-A261BC1F4352}"/>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5-E746-49A4-8661-A261BC1F4352}"/>
              </c:ext>
            </c:extLst>
          </c:dPt>
          <c:dLbls>
            <c:dLbl>
              <c:idx val="0"/>
              <c:layout>
                <c:manualLayout>
                  <c:x val="5.513133847603089E-2"/>
                  <c:y val="6.39676300286888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746-49A4-8661-A261BC1F4352}"/>
                </c:ext>
              </c:extLst>
            </c:dLbl>
            <c:dLbl>
              <c:idx val="1"/>
              <c:layout>
                <c:manualLayout>
                  <c:x val="9.4047577400287991E-2"/>
                  <c:y val="9.062080920730926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2420"/>
                        <a:gd name="adj2" fmla="val -43325"/>
                      </a:avLst>
                    </a:prstGeom>
                    <a:noFill/>
                    <a:ln>
                      <a:noFill/>
                    </a:ln>
                  </c15:spPr>
                </c:ext>
                <c:ext xmlns:c16="http://schemas.microsoft.com/office/drawing/2014/chart" uri="{C3380CC4-5D6E-409C-BE32-E72D297353CC}">
                  <c16:uniqueId val="{00000003-E746-49A4-8661-A261BC1F4352}"/>
                </c:ext>
              </c:extLst>
            </c:dLbl>
            <c:dLbl>
              <c:idx val="2"/>
              <c:layout>
                <c:manualLayout>
                  <c:x val="-0.1426928760556094"/>
                  <c:y val="5.330635835724074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7688"/>
                        <a:gd name="adj2" fmla="val -29671"/>
                      </a:avLst>
                    </a:prstGeom>
                    <a:noFill/>
                    <a:ln>
                      <a:noFill/>
                    </a:ln>
                  </c15:spPr>
                </c:ext>
                <c:ext xmlns:c16="http://schemas.microsoft.com/office/drawing/2014/chart" uri="{C3380CC4-5D6E-409C-BE32-E72D297353CC}">
                  <c16:uniqueId val="{00000005-E746-49A4-8661-A261BC1F435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'!$F$29:$F$32</c:f>
              <c:strCache>
                <c:ptCount val="3"/>
                <c:pt idx="0">
                  <c:v>Air India</c:v>
                </c:pt>
                <c:pt idx="1">
                  <c:v>IndiGo</c:v>
                </c:pt>
                <c:pt idx="2">
                  <c:v>Vistara</c:v>
                </c:pt>
              </c:strCache>
            </c:strRef>
          </c:cat>
          <c:val>
            <c:numRef>
              <c:f>'Pivot '!$G$29:$G$32</c:f>
              <c:numCache>
                <c:formatCode>General</c:formatCode>
                <c:ptCount val="3"/>
                <c:pt idx="0">
                  <c:v>360</c:v>
                </c:pt>
                <c:pt idx="1">
                  <c:v>295</c:v>
                </c:pt>
                <c:pt idx="2">
                  <c:v>323</c:v>
                </c:pt>
              </c:numCache>
            </c:numRef>
          </c:val>
          <c:extLst>
            <c:ext xmlns:c16="http://schemas.microsoft.com/office/drawing/2014/chart" uri="{C3380CC4-5D6E-409C-BE32-E72D297353CC}">
              <c16:uniqueId val="{00000006-E746-49A4-8661-A261BC1F435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528341</xdr:colOff>
      <xdr:row>10</xdr:row>
      <xdr:rowOff>0</xdr:rowOff>
    </xdr:from>
    <xdr:to>
      <xdr:col>4</xdr:col>
      <xdr:colOff>108857</xdr:colOff>
      <xdr:row>23</xdr:row>
      <xdr:rowOff>13998</xdr:rowOff>
    </xdr:to>
    <xdr:graphicFrame macro="">
      <xdr:nvGraphicFramePr>
        <xdr:cNvPr id="2" name="Chart 1">
          <a:extLst>
            <a:ext uri="{FF2B5EF4-FFF2-40B4-BE49-F238E27FC236}">
              <a16:creationId xmlns:a16="http://schemas.microsoft.com/office/drawing/2014/main" id="{0CF739BA-6DA6-142E-A00F-0AD45014C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201084</xdr:colOff>
      <xdr:row>10</xdr:row>
      <xdr:rowOff>0</xdr:rowOff>
    </xdr:from>
    <xdr:to>
      <xdr:col>7</xdr:col>
      <xdr:colOff>637309</xdr:colOff>
      <xdr:row>22</xdr:row>
      <xdr:rowOff>184811</xdr:rowOff>
    </xdr:to>
    <xdr:graphicFrame macro="">
      <xdr:nvGraphicFramePr>
        <xdr:cNvPr id="6" name="Chart 5">
          <a:extLst>
            <a:ext uri="{FF2B5EF4-FFF2-40B4-BE49-F238E27FC236}">
              <a16:creationId xmlns:a16="http://schemas.microsoft.com/office/drawing/2014/main" id="{B8470EC5-01E3-BE53-53A3-A361AB241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347841</xdr:colOff>
      <xdr:row>34</xdr:row>
      <xdr:rowOff>3236</xdr:rowOff>
    </xdr:from>
    <xdr:to>
      <xdr:col>4</xdr:col>
      <xdr:colOff>166507</xdr:colOff>
      <xdr:row>47</xdr:row>
      <xdr:rowOff>8193</xdr:rowOff>
    </xdr:to>
    <xdr:graphicFrame macro="">
      <xdr:nvGraphicFramePr>
        <xdr:cNvPr id="7" name="Chart 6">
          <a:extLst>
            <a:ext uri="{FF2B5EF4-FFF2-40B4-BE49-F238E27FC236}">
              <a16:creationId xmlns:a16="http://schemas.microsoft.com/office/drawing/2014/main" id="{152B4A45-6295-7C9B-B3D6-89DC6D3ED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395110</xdr:colOff>
      <xdr:row>34</xdr:row>
      <xdr:rowOff>0</xdr:rowOff>
    </xdr:from>
    <xdr:to>
      <xdr:col>7</xdr:col>
      <xdr:colOff>0</xdr:colOff>
      <xdr:row>47</xdr:row>
      <xdr:rowOff>112620</xdr:rowOff>
    </xdr:to>
    <xdr:graphicFrame macro="">
      <xdr:nvGraphicFramePr>
        <xdr:cNvPr id="8" name="Chart 7">
          <a:extLst>
            <a:ext uri="{FF2B5EF4-FFF2-40B4-BE49-F238E27FC236}">
              <a16:creationId xmlns:a16="http://schemas.microsoft.com/office/drawing/2014/main" id="{A60300F2-8DA0-BAB6-140B-4DB2A520C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816429</xdr:colOff>
      <xdr:row>34</xdr:row>
      <xdr:rowOff>0</xdr:rowOff>
    </xdr:from>
    <xdr:to>
      <xdr:col>11</xdr:col>
      <xdr:colOff>911175</xdr:colOff>
      <xdr:row>47</xdr:row>
      <xdr:rowOff>150250</xdr:rowOff>
    </xdr:to>
    <xdr:graphicFrame macro="">
      <xdr:nvGraphicFramePr>
        <xdr:cNvPr id="9" name="Chart 8">
          <a:extLst>
            <a:ext uri="{FF2B5EF4-FFF2-40B4-BE49-F238E27FC236}">
              <a16:creationId xmlns:a16="http://schemas.microsoft.com/office/drawing/2014/main" id="{4FB697E1-AF01-73DB-E3A9-161DA29D5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66260</xdr:colOff>
      <xdr:row>7</xdr:row>
      <xdr:rowOff>21869</xdr:rowOff>
    </xdr:from>
    <xdr:to>
      <xdr:col>17</xdr:col>
      <xdr:colOff>4182</xdr:colOff>
      <xdr:row>12</xdr:row>
      <xdr:rowOff>1478</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E79844F9-2FA1-763B-2EBE-8FCC9AE6F68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741360" y="1317269"/>
              <a:ext cx="4061240" cy="868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244929</xdr:colOff>
      <xdr:row>12</xdr:row>
      <xdr:rowOff>0</xdr:rowOff>
    </xdr:from>
    <xdr:to>
      <xdr:col>17</xdr:col>
      <xdr:colOff>7199</xdr:colOff>
      <xdr:row>22</xdr:row>
      <xdr:rowOff>0</xdr:rowOff>
    </xdr:to>
    <mc:AlternateContent xmlns:mc="http://schemas.openxmlformats.org/markup-compatibility/2006" xmlns:a14="http://schemas.microsoft.com/office/drawing/2010/main">
      <mc:Choice Requires="a14">
        <xdr:graphicFrame macro="">
          <xdr:nvGraphicFramePr>
            <xdr:cNvPr id="10" name="Airline">
              <a:extLst>
                <a:ext uri="{FF2B5EF4-FFF2-40B4-BE49-F238E27FC236}">
                  <a16:creationId xmlns:a16="http://schemas.microsoft.com/office/drawing/2014/main" id="{1B4CE2E2-8C0B-DC9B-4D02-0652BEAB7ED3}"/>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18799629" y="2184400"/>
              <a:ext cx="2010172"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58313</xdr:colOff>
      <xdr:row>12</xdr:row>
      <xdr:rowOff>0</xdr:rowOff>
    </xdr:from>
    <xdr:to>
      <xdr:col>15</xdr:col>
      <xdr:colOff>210369</xdr:colOff>
      <xdr:row>22</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D90AF9C-7CE7-AA0B-935B-C1895C2F69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33413" y="2184400"/>
              <a:ext cx="2031656"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634999</xdr:colOff>
      <xdr:row>9</xdr:row>
      <xdr:rowOff>173567</xdr:rowOff>
    </xdr:from>
    <xdr:to>
      <xdr:col>11</xdr:col>
      <xdr:colOff>1183531</xdr:colOff>
      <xdr:row>22</xdr:row>
      <xdr:rowOff>169334</xdr:rowOff>
    </xdr:to>
    <xdr:graphicFrame macro="">
      <xdr:nvGraphicFramePr>
        <xdr:cNvPr id="4" name="Chart 12">
          <a:extLst>
            <a:ext uri="{FF2B5EF4-FFF2-40B4-BE49-F238E27FC236}">
              <a16:creationId xmlns:a16="http://schemas.microsoft.com/office/drawing/2014/main" id="{0841D493-1B2D-D727-B2C7-1DEEA9009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392042</xdr:colOff>
      <xdr:row>4</xdr:row>
      <xdr:rowOff>129927</xdr:rowOff>
    </xdr:to>
    <xdr:sp macro="" textlink="">
      <xdr:nvSpPr>
        <xdr:cNvPr id="8" name="Rectangle: Rounded Corners 7">
          <a:extLst>
            <a:ext uri="{FF2B5EF4-FFF2-40B4-BE49-F238E27FC236}">
              <a16:creationId xmlns:a16="http://schemas.microsoft.com/office/drawing/2014/main" id="{6C099A95-D106-47BE-370B-2C3B7D3CBD04}"/>
            </a:ext>
          </a:extLst>
        </xdr:cNvPr>
        <xdr:cNvSpPr/>
      </xdr:nvSpPr>
      <xdr:spPr>
        <a:xfrm>
          <a:off x="0" y="0"/>
          <a:ext cx="12584042" cy="880204"/>
        </a:xfrm>
        <a:prstGeom prst="roundRect">
          <a:avLst>
            <a:gd name="adj" fmla="val 16168"/>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390</xdr:colOff>
      <xdr:row>5</xdr:row>
      <xdr:rowOff>6341</xdr:rowOff>
    </xdr:from>
    <xdr:to>
      <xdr:col>3</xdr:col>
      <xdr:colOff>441614</xdr:colOff>
      <xdr:row>9</xdr:row>
      <xdr:rowOff>67656</xdr:rowOff>
    </xdr:to>
    <xdr:grpSp>
      <xdr:nvGrpSpPr>
        <xdr:cNvPr id="48" name="Group 47">
          <a:extLst>
            <a:ext uri="{FF2B5EF4-FFF2-40B4-BE49-F238E27FC236}">
              <a16:creationId xmlns:a16="http://schemas.microsoft.com/office/drawing/2014/main" id="{F1E13F8E-5D9E-007B-058A-9B89A84A3ED2}"/>
            </a:ext>
          </a:extLst>
        </xdr:cNvPr>
        <xdr:cNvGrpSpPr/>
      </xdr:nvGrpSpPr>
      <xdr:grpSpPr>
        <a:xfrm>
          <a:off x="390" y="895341"/>
          <a:ext cx="2270024" cy="772515"/>
          <a:chOff x="390" y="913484"/>
          <a:chExt cx="2276244" cy="787029"/>
        </a:xfrm>
      </xdr:grpSpPr>
      <xdr:sp macro="" textlink="">
        <xdr:nvSpPr>
          <xdr:cNvPr id="9" name="Rectangle: Rounded Corners 8">
            <a:extLst>
              <a:ext uri="{FF2B5EF4-FFF2-40B4-BE49-F238E27FC236}">
                <a16:creationId xmlns:a16="http://schemas.microsoft.com/office/drawing/2014/main" id="{751D629B-A5BD-884D-0316-CF3A96FADBA0}"/>
              </a:ext>
            </a:extLst>
          </xdr:cNvPr>
          <xdr:cNvSpPr/>
        </xdr:nvSpPr>
        <xdr:spPr>
          <a:xfrm>
            <a:off x="52134" y="916774"/>
            <a:ext cx="2161712" cy="783606"/>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5" name="Group 24">
            <a:extLst>
              <a:ext uri="{FF2B5EF4-FFF2-40B4-BE49-F238E27FC236}">
                <a16:creationId xmlns:a16="http://schemas.microsoft.com/office/drawing/2014/main" id="{86881FD9-D7D7-38C1-6A6C-EA2062A1C900}"/>
              </a:ext>
            </a:extLst>
          </xdr:cNvPr>
          <xdr:cNvGrpSpPr/>
        </xdr:nvGrpSpPr>
        <xdr:grpSpPr>
          <a:xfrm>
            <a:off x="390" y="913484"/>
            <a:ext cx="2276244" cy="787029"/>
            <a:chOff x="390" y="1172071"/>
            <a:chExt cx="2264368" cy="795761"/>
          </a:xfrm>
        </xdr:grpSpPr>
        <xdr:sp macro="" textlink="">
          <xdr:nvSpPr>
            <xdr:cNvPr id="22" name="Rectangle: Rounded Corners 21">
              <a:extLst>
                <a:ext uri="{FF2B5EF4-FFF2-40B4-BE49-F238E27FC236}">
                  <a16:creationId xmlns:a16="http://schemas.microsoft.com/office/drawing/2014/main" id="{6564BD3F-6DCB-6A4F-B1B2-55AF2C7A114E}"/>
                </a:ext>
              </a:extLst>
            </xdr:cNvPr>
            <xdr:cNvSpPr/>
          </xdr:nvSpPr>
          <xdr:spPr>
            <a:xfrm rot="16200000">
              <a:off x="196" y="1172265"/>
              <a:ext cx="795761" cy="795373"/>
            </a:xfrm>
            <a:prstGeom prst="roundRect">
              <a:avLst>
                <a:gd name="adj" fmla="val 16168"/>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B4D40353-75F4-D9FC-33ED-B6E86B466727}"/>
                </a:ext>
              </a:extLst>
            </xdr:cNvPr>
            <xdr:cNvSpPr txBox="1"/>
          </xdr:nvSpPr>
          <xdr:spPr>
            <a:xfrm>
              <a:off x="911505" y="1282863"/>
              <a:ext cx="1151162" cy="264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latin typeface="Aptos NARROW" panose="020B0004020202020204" pitchFamily="34" charset="0"/>
                </a:rPr>
                <a:t>TOTAL</a:t>
              </a:r>
              <a:r>
                <a:rPr lang="en-IN" sz="1100" b="1" baseline="0">
                  <a:solidFill>
                    <a:schemeClr val="tx2"/>
                  </a:solidFill>
                  <a:latin typeface="Aptos NARROW" panose="020B0004020202020204" pitchFamily="34" charset="0"/>
                </a:rPr>
                <a:t> REVENUE</a:t>
              </a:r>
              <a:endParaRPr lang="en-IN" sz="1100" b="1">
                <a:solidFill>
                  <a:schemeClr val="tx2"/>
                </a:solidFill>
                <a:latin typeface="Aptos NARROW" panose="020B0004020202020204" pitchFamily="34" charset="0"/>
              </a:endParaRPr>
            </a:p>
          </xdr:txBody>
        </xdr:sp>
        <xdr:sp macro="" textlink="Calculations!T4">
          <xdr:nvSpPr>
            <xdr:cNvPr id="24" name="TextBox 23">
              <a:extLst>
                <a:ext uri="{FF2B5EF4-FFF2-40B4-BE49-F238E27FC236}">
                  <a16:creationId xmlns:a16="http://schemas.microsoft.com/office/drawing/2014/main" id="{095401E5-3197-C104-C4E7-FFBCCDA60187}"/>
                </a:ext>
              </a:extLst>
            </xdr:cNvPr>
            <xdr:cNvSpPr txBox="1"/>
          </xdr:nvSpPr>
          <xdr:spPr>
            <a:xfrm>
              <a:off x="911505" y="1456480"/>
              <a:ext cx="1353253" cy="36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106362-1005-45F5-A9CD-F2D0D7654DCC}" type="TxLink">
                <a:rPr lang="en-US" sz="1400" b="1" i="0" u="none" strike="noStrike">
                  <a:solidFill>
                    <a:schemeClr val="tx2"/>
                  </a:solidFill>
                  <a:latin typeface="Aptos NARROW" panose="020B0004020202020204" pitchFamily="34" charset="0"/>
                  <a:ea typeface="Calibri"/>
                  <a:cs typeface="Calibri"/>
                </a:rPr>
                <a:pPr/>
                <a:t>8,00,63,95,958</a:t>
              </a:fld>
              <a:endParaRPr lang="en-IN" sz="1400" b="1">
                <a:solidFill>
                  <a:schemeClr val="tx2"/>
                </a:solidFill>
                <a:latin typeface="Aptos NARROW" panose="020B0004020202020204" pitchFamily="34" charset="0"/>
              </a:endParaRPr>
            </a:p>
          </xdr:txBody>
        </xdr:sp>
      </xdr:grpSp>
    </xdr:grpSp>
    <xdr:clientData/>
  </xdr:twoCellAnchor>
  <xdr:twoCellAnchor>
    <xdr:from>
      <xdr:col>3</xdr:col>
      <xdr:colOff>444086</xdr:colOff>
      <xdr:row>5</xdr:row>
      <xdr:rowOff>4822</xdr:rowOff>
    </xdr:from>
    <xdr:to>
      <xdr:col>7</xdr:col>
      <xdr:colOff>181839</xdr:colOff>
      <xdr:row>9</xdr:row>
      <xdr:rowOff>67521</xdr:rowOff>
    </xdr:to>
    <xdr:grpSp>
      <xdr:nvGrpSpPr>
        <xdr:cNvPr id="27" name="Group 26">
          <a:extLst>
            <a:ext uri="{FF2B5EF4-FFF2-40B4-BE49-F238E27FC236}">
              <a16:creationId xmlns:a16="http://schemas.microsoft.com/office/drawing/2014/main" id="{47C6155E-AF95-3496-7890-E955A6CE3A15}"/>
            </a:ext>
          </a:extLst>
        </xdr:cNvPr>
        <xdr:cNvGrpSpPr/>
      </xdr:nvGrpSpPr>
      <xdr:grpSpPr>
        <a:xfrm>
          <a:off x="2272886" y="893822"/>
          <a:ext cx="2176153" cy="773899"/>
          <a:chOff x="43795" y="1171935"/>
          <a:chExt cx="2168464" cy="795762"/>
        </a:xfrm>
      </xdr:grpSpPr>
      <xdr:sp macro="" textlink="">
        <xdr:nvSpPr>
          <xdr:cNvPr id="28" name="Rectangle: Rounded Corners 27">
            <a:extLst>
              <a:ext uri="{FF2B5EF4-FFF2-40B4-BE49-F238E27FC236}">
                <a16:creationId xmlns:a16="http://schemas.microsoft.com/office/drawing/2014/main" id="{9662E21D-C03E-2503-0544-F928D587C128}"/>
              </a:ext>
            </a:extLst>
          </xdr:cNvPr>
          <xdr:cNvSpPr/>
        </xdr:nvSpPr>
        <xdr:spPr>
          <a:xfrm>
            <a:off x="51864" y="1175397"/>
            <a:ext cx="2150434" cy="792300"/>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9" name="Group 28">
            <a:extLst>
              <a:ext uri="{FF2B5EF4-FFF2-40B4-BE49-F238E27FC236}">
                <a16:creationId xmlns:a16="http://schemas.microsoft.com/office/drawing/2014/main" id="{6BD8A39C-B936-6D56-D1F1-631D97311F91}"/>
              </a:ext>
            </a:extLst>
          </xdr:cNvPr>
          <xdr:cNvGrpSpPr/>
        </xdr:nvGrpSpPr>
        <xdr:grpSpPr>
          <a:xfrm>
            <a:off x="43795" y="1171935"/>
            <a:ext cx="2168464" cy="795761"/>
            <a:chOff x="43795" y="1171935"/>
            <a:chExt cx="2168464" cy="795761"/>
          </a:xfrm>
        </xdr:grpSpPr>
        <xdr:sp macro="" textlink="">
          <xdr:nvSpPr>
            <xdr:cNvPr id="30" name="Rectangle: Rounded Corners 29">
              <a:extLst>
                <a:ext uri="{FF2B5EF4-FFF2-40B4-BE49-F238E27FC236}">
                  <a16:creationId xmlns:a16="http://schemas.microsoft.com/office/drawing/2014/main" id="{A64C9B3A-2665-974F-A974-7D5BB76994A0}"/>
                </a:ext>
              </a:extLst>
            </xdr:cNvPr>
            <xdr:cNvSpPr/>
          </xdr:nvSpPr>
          <xdr:spPr>
            <a:xfrm rot="16200000">
              <a:off x="43601" y="1172129"/>
              <a:ext cx="795761" cy="795373"/>
            </a:xfrm>
            <a:prstGeom prst="roundRect">
              <a:avLst>
                <a:gd name="adj" fmla="val 16168"/>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0484943F-2810-FB55-F07C-96ADED8B3E5B}"/>
                </a:ext>
              </a:extLst>
            </xdr:cNvPr>
            <xdr:cNvSpPr txBox="1"/>
          </xdr:nvSpPr>
          <xdr:spPr>
            <a:xfrm>
              <a:off x="911505" y="1282864"/>
              <a:ext cx="1224989" cy="217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latin typeface="Aptos NARROW" panose="020B0004020202020204" pitchFamily="34" charset="0"/>
                </a:rPr>
                <a:t>TOTAL</a:t>
              </a:r>
              <a:r>
                <a:rPr lang="en-IN" sz="1100" b="1" baseline="0">
                  <a:solidFill>
                    <a:schemeClr val="tx2"/>
                  </a:solidFill>
                  <a:latin typeface="Aptos NARROW" panose="020B0004020202020204" pitchFamily="34" charset="0"/>
                </a:rPr>
                <a:t> PROFIT</a:t>
              </a:r>
            </a:p>
            <a:p>
              <a:endParaRPr lang="en-IN" sz="1100" b="1">
                <a:solidFill>
                  <a:schemeClr val="tx2"/>
                </a:solidFill>
                <a:latin typeface="Aptos NARROW" panose="020B0004020202020204" pitchFamily="34" charset="0"/>
              </a:endParaRPr>
            </a:p>
          </xdr:txBody>
        </xdr:sp>
        <xdr:sp macro="" textlink="Calculations!T7">
          <xdr:nvSpPr>
            <xdr:cNvPr id="32" name="TextBox 31">
              <a:extLst>
                <a:ext uri="{FF2B5EF4-FFF2-40B4-BE49-F238E27FC236}">
                  <a16:creationId xmlns:a16="http://schemas.microsoft.com/office/drawing/2014/main" id="{85B91067-D7B0-5BB1-4789-00982016E172}"/>
                </a:ext>
              </a:extLst>
            </xdr:cNvPr>
            <xdr:cNvSpPr txBox="1"/>
          </xdr:nvSpPr>
          <xdr:spPr>
            <a:xfrm>
              <a:off x="911504" y="1456479"/>
              <a:ext cx="1300755" cy="43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A571B8-A264-42A0-B58B-8FCF4EF2884D}" type="TxLink">
                <a:rPr lang="en-US" sz="1400" b="1" i="0" u="none" strike="noStrike">
                  <a:solidFill>
                    <a:srgbClr val="002060"/>
                  </a:solidFill>
                  <a:latin typeface="Aptos narrow" panose="020B0004020202020204" pitchFamily="34" charset="0"/>
                  <a:ea typeface="Calibri"/>
                  <a:cs typeface="Calibri"/>
                </a:rPr>
                <a:pPr/>
                <a:t>1,81,05,29,564</a:t>
              </a:fld>
              <a:endParaRPr lang="en-IN" sz="1600" b="1">
                <a:solidFill>
                  <a:srgbClr val="002060"/>
                </a:solidFill>
                <a:latin typeface="Aptos narrow" panose="020B0004020202020204" pitchFamily="34" charset="0"/>
              </a:endParaRPr>
            </a:p>
          </xdr:txBody>
        </xdr:sp>
      </xdr:grpSp>
    </xdr:grpSp>
    <xdr:clientData/>
  </xdr:twoCellAnchor>
  <xdr:twoCellAnchor>
    <xdr:from>
      <xdr:col>7</xdr:col>
      <xdr:colOff>244775</xdr:colOff>
      <xdr:row>5</xdr:row>
      <xdr:rowOff>8284</xdr:rowOff>
    </xdr:from>
    <xdr:to>
      <xdr:col>10</xdr:col>
      <xdr:colOff>584541</xdr:colOff>
      <xdr:row>9</xdr:row>
      <xdr:rowOff>72343</xdr:rowOff>
    </xdr:to>
    <xdr:grpSp>
      <xdr:nvGrpSpPr>
        <xdr:cNvPr id="33" name="Group 32">
          <a:extLst>
            <a:ext uri="{FF2B5EF4-FFF2-40B4-BE49-F238E27FC236}">
              <a16:creationId xmlns:a16="http://schemas.microsoft.com/office/drawing/2014/main" id="{212B3423-5B29-DBCB-9243-3AE7B64AC4A9}"/>
            </a:ext>
          </a:extLst>
        </xdr:cNvPr>
        <xdr:cNvGrpSpPr/>
      </xdr:nvGrpSpPr>
      <xdr:grpSpPr>
        <a:xfrm>
          <a:off x="4511975" y="897284"/>
          <a:ext cx="2168566" cy="775259"/>
          <a:chOff x="51864" y="1175397"/>
          <a:chExt cx="2162818" cy="797122"/>
        </a:xfrm>
      </xdr:grpSpPr>
      <xdr:sp macro="" textlink="">
        <xdr:nvSpPr>
          <xdr:cNvPr id="34" name="Rectangle: Rounded Corners 33">
            <a:extLst>
              <a:ext uri="{FF2B5EF4-FFF2-40B4-BE49-F238E27FC236}">
                <a16:creationId xmlns:a16="http://schemas.microsoft.com/office/drawing/2014/main" id="{4CE13F6E-F86F-9F10-9433-7C6959007B3A}"/>
              </a:ext>
            </a:extLst>
          </xdr:cNvPr>
          <xdr:cNvSpPr/>
        </xdr:nvSpPr>
        <xdr:spPr>
          <a:xfrm>
            <a:off x="51864" y="1175397"/>
            <a:ext cx="2150434" cy="792300"/>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2060"/>
              </a:solidFill>
            </a:endParaRPr>
          </a:p>
        </xdr:txBody>
      </xdr:sp>
      <xdr:grpSp>
        <xdr:nvGrpSpPr>
          <xdr:cNvPr id="35" name="Group 34">
            <a:extLst>
              <a:ext uri="{FF2B5EF4-FFF2-40B4-BE49-F238E27FC236}">
                <a16:creationId xmlns:a16="http://schemas.microsoft.com/office/drawing/2014/main" id="{928DAA00-2723-AD2A-83DC-81E827F0DD29}"/>
              </a:ext>
            </a:extLst>
          </xdr:cNvPr>
          <xdr:cNvGrpSpPr/>
        </xdr:nvGrpSpPr>
        <xdr:grpSpPr>
          <a:xfrm>
            <a:off x="53441" y="1176758"/>
            <a:ext cx="2161241" cy="795761"/>
            <a:chOff x="53441" y="1176758"/>
            <a:chExt cx="2161241" cy="795761"/>
          </a:xfrm>
        </xdr:grpSpPr>
        <xdr:sp macro="" textlink="">
          <xdr:nvSpPr>
            <xdr:cNvPr id="36" name="Rectangle: Rounded Corners 35">
              <a:extLst>
                <a:ext uri="{FF2B5EF4-FFF2-40B4-BE49-F238E27FC236}">
                  <a16:creationId xmlns:a16="http://schemas.microsoft.com/office/drawing/2014/main" id="{88485E06-50CC-25A4-D9D7-F33D76C3D699}"/>
                </a:ext>
              </a:extLst>
            </xdr:cNvPr>
            <xdr:cNvSpPr/>
          </xdr:nvSpPr>
          <xdr:spPr>
            <a:xfrm rot="16200000">
              <a:off x="53247" y="1176952"/>
              <a:ext cx="795761" cy="795373"/>
            </a:xfrm>
            <a:prstGeom prst="roundRect">
              <a:avLst>
                <a:gd name="adj" fmla="val 16168"/>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2060"/>
                </a:solidFill>
              </a:endParaRPr>
            </a:p>
          </xdr:txBody>
        </xdr:sp>
        <xdr:sp macro="" textlink="">
          <xdr:nvSpPr>
            <xdr:cNvPr id="37" name="TextBox 36">
              <a:extLst>
                <a:ext uri="{FF2B5EF4-FFF2-40B4-BE49-F238E27FC236}">
                  <a16:creationId xmlns:a16="http://schemas.microsoft.com/office/drawing/2014/main" id="{F1135911-3A3C-E7AE-E197-3038DA227167}"/>
                </a:ext>
              </a:extLst>
            </xdr:cNvPr>
            <xdr:cNvSpPr txBox="1"/>
          </xdr:nvSpPr>
          <xdr:spPr>
            <a:xfrm>
              <a:off x="911504" y="1282863"/>
              <a:ext cx="1114702" cy="282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latin typeface="Aptos NARROW" panose="020B0004020202020204" pitchFamily="34" charset="0"/>
                </a:rPr>
                <a:t>TOTAL FLIGHTS</a:t>
              </a:r>
            </a:p>
          </xdr:txBody>
        </xdr:sp>
        <xdr:sp macro="" textlink="Calculations!R7">
          <xdr:nvSpPr>
            <xdr:cNvPr id="38" name="TextBox 37">
              <a:extLst>
                <a:ext uri="{FF2B5EF4-FFF2-40B4-BE49-F238E27FC236}">
                  <a16:creationId xmlns:a16="http://schemas.microsoft.com/office/drawing/2014/main" id="{916FFA57-954A-3DD8-4C6D-F9DA19BD745F}"/>
                </a:ext>
              </a:extLst>
            </xdr:cNvPr>
            <xdr:cNvSpPr txBox="1"/>
          </xdr:nvSpPr>
          <xdr:spPr>
            <a:xfrm>
              <a:off x="1058095" y="1456436"/>
              <a:ext cx="1156587" cy="44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0D92A0-12E6-4ABD-BC24-0532850DB67A}" type="TxLink">
                <a:rPr lang="en-US" sz="2000" b="1" i="0" u="none" strike="noStrike">
                  <a:solidFill>
                    <a:srgbClr val="002060"/>
                  </a:solidFill>
                  <a:latin typeface="Aptos narrow" panose="020B0004020202020204" pitchFamily="34" charset="0"/>
                  <a:ea typeface="Calibri"/>
                  <a:cs typeface="Calibri"/>
                </a:rPr>
                <a:pPr/>
                <a:t>9717</a:t>
              </a:fld>
              <a:endParaRPr lang="en-US" sz="2400" b="1">
                <a:solidFill>
                  <a:srgbClr val="002060"/>
                </a:solidFill>
                <a:latin typeface="Aptos narrow" panose="020B0004020202020204" pitchFamily="34" charset="0"/>
              </a:endParaRPr>
            </a:p>
          </xdr:txBody>
        </xdr:sp>
      </xdr:grpSp>
    </xdr:grpSp>
    <xdr:clientData/>
  </xdr:twoCellAnchor>
  <xdr:twoCellAnchor>
    <xdr:from>
      <xdr:col>11</xdr:col>
      <xdr:colOff>3571</xdr:colOff>
      <xdr:row>5</xdr:row>
      <xdr:rowOff>4822</xdr:rowOff>
    </xdr:from>
    <xdr:to>
      <xdr:col>14</xdr:col>
      <xdr:colOff>427974</xdr:colOff>
      <xdr:row>9</xdr:row>
      <xdr:rowOff>67521</xdr:rowOff>
    </xdr:to>
    <xdr:grpSp>
      <xdr:nvGrpSpPr>
        <xdr:cNvPr id="39" name="Group 38">
          <a:extLst>
            <a:ext uri="{FF2B5EF4-FFF2-40B4-BE49-F238E27FC236}">
              <a16:creationId xmlns:a16="http://schemas.microsoft.com/office/drawing/2014/main" id="{C4B7A076-79FF-3489-B9A5-CC8576C0145F}"/>
            </a:ext>
          </a:extLst>
        </xdr:cNvPr>
        <xdr:cNvGrpSpPr/>
      </xdr:nvGrpSpPr>
      <xdr:grpSpPr>
        <a:xfrm>
          <a:off x="6709171" y="893822"/>
          <a:ext cx="2253203" cy="773899"/>
          <a:chOff x="27729" y="1171935"/>
          <a:chExt cx="2247595" cy="795762"/>
        </a:xfrm>
      </xdr:grpSpPr>
      <xdr:sp macro="" textlink="">
        <xdr:nvSpPr>
          <xdr:cNvPr id="40" name="Rectangle: Rounded Corners 39">
            <a:extLst>
              <a:ext uri="{FF2B5EF4-FFF2-40B4-BE49-F238E27FC236}">
                <a16:creationId xmlns:a16="http://schemas.microsoft.com/office/drawing/2014/main" id="{F338CAF9-D902-42AA-138A-A2C697AD8887}"/>
              </a:ext>
            </a:extLst>
          </xdr:cNvPr>
          <xdr:cNvSpPr/>
        </xdr:nvSpPr>
        <xdr:spPr>
          <a:xfrm>
            <a:off x="51864" y="1175397"/>
            <a:ext cx="2150434" cy="792300"/>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1" name="Group 40">
            <a:extLst>
              <a:ext uri="{FF2B5EF4-FFF2-40B4-BE49-F238E27FC236}">
                <a16:creationId xmlns:a16="http://schemas.microsoft.com/office/drawing/2014/main" id="{CF5EED07-CE36-77B3-FD9C-0ECF27475554}"/>
              </a:ext>
            </a:extLst>
          </xdr:cNvPr>
          <xdr:cNvGrpSpPr/>
        </xdr:nvGrpSpPr>
        <xdr:grpSpPr>
          <a:xfrm>
            <a:off x="27729" y="1171935"/>
            <a:ext cx="2247595" cy="795761"/>
            <a:chOff x="27729" y="1171935"/>
            <a:chExt cx="2247595" cy="795761"/>
          </a:xfrm>
        </xdr:grpSpPr>
        <xdr:sp macro="" textlink="">
          <xdr:nvSpPr>
            <xdr:cNvPr id="42" name="Rectangle: Rounded Corners 41">
              <a:extLst>
                <a:ext uri="{FF2B5EF4-FFF2-40B4-BE49-F238E27FC236}">
                  <a16:creationId xmlns:a16="http://schemas.microsoft.com/office/drawing/2014/main" id="{19AB52C8-EC73-0C61-58D1-98A0CD4E7515}"/>
                </a:ext>
              </a:extLst>
            </xdr:cNvPr>
            <xdr:cNvSpPr/>
          </xdr:nvSpPr>
          <xdr:spPr>
            <a:xfrm rot="16200000">
              <a:off x="27535" y="1172129"/>
              <a:ext cx="795761" cy="795373"/>
            </a:xfrm>
            <a:prstGeom prst="roundRect">
              <a:avLst>
                <a:gd name="adj" fmla="val 16168"/>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FC7063AA-9BA5-A4D9-26A0-4E6B4D27DFE1}"/>
                </a:ext>
              </a:extLst>
            </xdr:cNvPr>
            <xdr:cNvSpPr txBox="1"/>
          </xdr:nvSpPr>
          <xdr:spPr>
            <a:xfrm>
              <a:off x="880095" y="1282863"/>
              <a:ext cx="1395229" cy="261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latin typeface="Aptos NARROW" panose="020B0004020202020204" pitchFamily="34" charset="0"/>
                </a:rPr>
                <a:t>TOTAL PASSENGERS</a:t>
              </a:r>
            </a:p>
          </xdr:txBody>
        </xdr:sp>
        <xdr:sp macro="" textlink="Calculations!R10">
          <xdr:nvSpPr>
            <xdr:cNvPr id="44" name="TextBox 43">
              <a:extLst>
                <a:ext uri="{FF2B5EF4-FFF2-40B4-BE49-F238E27FC236}">
                  <a16:creationId xmlns:a16="http://schemas.microsoft.com/office/drawing/2014/main" id="{AB8D7F4A-8A2E-C02C-4053-FF6C97D6C788}"/>
                </a:ext>
              </a:extLst>
            </xdr:cNvPr>
            <xdr:cNvSpPr txBox="1"/>
          </xdr:nvSpPr>
          <xdr:spPr>
            <a:xfrm>
              <a:off x="1057229" y="1455001"/>
              <a:ext cx="1075481" cy="348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79A130-3A84-47EC-A6F4-936852D9FB92}" type="TxLink">
                <a:rPr lang="en-US" sz="2000" b="1" i="0" u="none" strike="noStrike">
                  <a:solidFill>
                    <a:srgbClr val="002060"/>
                  </a:solidFill>
                  <a:latin typeface="Calibri"/>
                  <a:ea typeface="Calibri"/>
                  <a:cs typeface="Calibri"/>
                </a:rPr>
                <a:pPr/>
                <a:t>1207119</a:t>
              </a:fld>
              <a:endParaRPr lang="en-IN" sz="2400" b="1">
                <a:solidFill>
                  <a:srgbClr val="002060"/>
                </a:solidFill>
                <a:latin typeface="Aptos NARROW" panose="020B0004020202020204" pitchFamily="34" charset="0"/>
              </a:endParaRPr>
            </a:p>
          </xdr:txBody>
        </xdr:sp>
      </xdr:grpSp>
    </xdr:grpSp>
    <xdr:clientData/>
  </xdr:twoCellAnchor>
  <xdr:twoCellAnchor editAs="oneCell">
    <xdr:from>
      <xdr:col>11</xdr:col>
      <xdr:colOff>43296</xdr:colOff>
      <xdr:row>5</xdr:row>
      <xdr:rowOff>43297</xdr:rowOff>
    </xdr:from>
    <xdr:to>
      <xdr:col>12</xdr:col>
      <xdr:colOff>157160</xdr:colOff>
      <xdr:row>9</xdr:row>
      <xdr:rowOff>35934</xdr:rowOff>
    </xdr:to>
    <xdr:pic>
      <xdr:nvPicPr>
        <xdr:cNvPr id="13" name="Graphic 12" descr="Business Growth with solid fill">
          <a:extLst>
            <a:ext uri="{FF2B5EF4-FFF2-40B4-BE49-F238E27FC236}">
              <a16:creationId xmlns:a16="http://schemas.microsoft.com/office/drawing/2014/main" id="{44DECE97-78D5-DE3B-685E-42B2FCA3F0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10796" y="952502"/>
          <a:ext cx="720000" cy="720000"/>
        </a:xfrm>
        <a:prstGeom prst="rect">
          <a:avLst/>
        </a:prstGeom>
      </xdr:spPr>
    </xdr:pic>
    <xdr:clientData/>
  </xdr:twoCellAnchor>
  <xdr:twoCellAnchor editAs="oneCell">
    <xdr:from>
      <xdr:col>7</xdr:col>
      <xdr:colOff>277090</xdr:colOff>
      <xdr:row>5</xdr:row>
      <xdr:rowOff>43295</xdr:rowOff>
    </xdr:from>
    <xdr:to>
      <xdr:col>8</xdr:col>
      <xdr:colOff>390954</xdr:colOff>
      <xdr:row>9</xdr:row>
      <xdr:rowOff>35932</xdr:rowOff>
    </xdr:to>
    <xdr:pic>
      <xdr:nvPicPr>
        <xdr:cNvPr id="15" name="Graphic 14" descr="Airplane with solid fill">
          <a:extLst>
            <a:ext uri="{FF2B5EF4-FFF2-40B4-BE49-F238E27FC236}">
              <a16:creationId xmlns:a16="http://schemas.microsoft.com/office/drawing/2014/main" id="{9BDB70FA-9316-B118-69CA-5F5175845C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20045" y="952500"/>
          <a:ext cx="720000" cy="720000"/>
        </a:xfrm>
        <a:prstGeom prst="rect">
          <a:avLst/>
        </a:prstGeom>
      </xdr:spPr>
    </xdr:pic>
    <xdr:clientData/>
  </xdr:twoCellAnchor>
  <xdr:twoCellAnchor editAs="oneCell">
    <xdr:from>
      <xdr:col>0</xdr:col>
      <xdr:colOff>41470</xdr:colOff>
      <xdr:row>5</xdr:row>
      <xdr:rowOff>41472</xdr:rowOff>
    </xdr:from>
    <xdr:to>
      <xdr:col>1</xdr:col>
      <xdr:colOff>149797</xdr:colOff>
      <xdr:row>9</xdr:row>
      <xdr:rowOff>35758</xdr:rowOff>
    </xdr:to>
    <xdr:pic>
      <xdr:nvPicPr>
        <xdr:cNvPr id="19" name="Graphic 18" descr="Dollar with solid fill">
          <a:extLst>
            <a:ext uri="{FF2B5EF4-FFF2-40B4-BE49-F238E27FC236}">
              <a16:creationId xmlns:a16="http://schemas.microsoft.com/office/drawing/2014/main" id="{FFA428B6-BF7D-EB4B-AA6A-8695C5C059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470" y="948615"/>
          <a:ext cx="720000" cy="720000"/>
        </a:xfrm>
        <a:prstGeom prst="rect">
          <a:avLst/>
        </a:prstGeom>
      </xdr:spPr>
    </xdr:pic>
    <xdr:clientData/>
  </xdr:twoCellAnchor>
  <xdr:twoCellAnchor editAs="oneCell">
    <xdr:from>
      <xdr:col>3</xdr:col>
      <xdr:colOff>476902</xdr:colOff>
      <xdr:row>5</xdr:row>
      <xdr:rowOff>41474</xdr:rowOff>
    </xdr:from>
    <xdr:to>
      <xdr:col>4</xdr:col>
      <xdr:colOff>585228</xdr:colOff>
      <xdr:row>9</xdr:row>
      <xdr:rowOff>35760</xdr:rowOff>
    </xdr:to>
    <xdr:pic>
      <xdr:nvPicPr>
        <xdr:cNvPr id="21" name="Graphic 20" descr="Upward trend with solid fill">
          <a:extLst>
            <a:ext uri="{FF2B5EF4-FFF2-40B4-BE49-F238E27FC236}">
              <a16:creationId xmlns:a16="http://schemas.microsoft.com/office/drawing/2014/main" id="{2FFBF245-4484-D65E-147D-586038F7B3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11922" y="948617"/>
          <a:ext cx="720000" cy="720000"/>
        </a:xfrm>
        <a:prstGeom prst="rect">
          <a:avLst/>
        </a:prstGeom>
      </xdr:spPr>
    </xdr:pic>
    <xdr:clientData/>
  </xdr:twoCellAnchor>
  <xdr:twoCellAnchor>
    <xdr:from>
      <xdr:col>6</xdr:col>
      <xdr:colOff>530532</xdr:colOff>
      <xdr:row>0</xdr:row>
      <xdr:rowOff>127273</xdr:rowOff>
    </xdr:from>
    <xdr:to>
      <xdr:col>14</xdr:col>
      <xdr:colOff>398588</xdr:colOff>
      <xdr:row>3</xdr:row>
      <xdr:rowOff>75436</xdr:rowOff>
    </xdr:to>
    <xdr:sp macro="" textlink="">
      <xdr:nvSpPr>
        <xdr:cNvPr id="45" name="TextBox 44">
          <a:extLst>
            <a:ext uri="{FF2B5EF4-FFF2-40B4-BE49-F238E27FC236}">
              <a16:creationId xmlns:a16="http://schemas.microsoft.com/office/drawing/2014/main" id="{116DD4DC-90E9-B3BD-BBF8-333EB165EAB3}"/>
            </a:ext>
          </a:extLst>
        </xdr:cNvPr>
        <xdr:cNvSpPr txBox="1"/>
      </xdr:nvSpPr>
      <xdr:spPr>
        <a:xfrm>
          <a:off x="4188132" y="127273"/>
          <a:ext cx="4744856" cy="51087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002060"/>
              </a:solidFill>
            </a:rPr>
            <a:t>Flight</a:t>
          </a:r>
          <a:r>
            <a:rPr lang="en-IN" sz="2800" b="1" baseline="0">
              <a:solidFill>
                <a:srgbClr val="002060"/>
              </a:solidFill>
            </a:rPr>
            <a:t> Operation &amp; Revenue</a:t>
          </a:r>
          <a:endParaRPr lang="en-IN" sz="2800" b="1">
            <a:solidFill>
              <a:srgbClr val="002060"/>
            </a:solidFill>
          </a:endParaRPr>
        </a:p>
      </xdr:txBody>
    </xdr:sp>
    <xdr:clientData/>
  </xdr:twoCellAnchor>
  <xdr:twoCellAnchor editAs="oneCell">
    <xdr:from>
      <xdr:col>5</xdr:col>
      <xdr:colOff>378228</xdr:colOff>
      <xdr:row>0</xdr:row>
      <xdr:rowOff>51294</xdr:rowOff>
    </xdr:from>
    <xdr:to>
      <xdr:col>6</xdr:col>
      <xdr:colOff>486554</xdr:colOff>
      <xdr:row>4</xdr:row>
      <xdr:rowOff>45580</xdr:rowOff>
    </xdr:to>
    <xdr:pic>
      <xdr:nvPicPr>
        <xdr:cNvPr id="47" name="Picture 46">
          <a:extLst>
            <a:ext uri="{FF2B5EF4-FFF2-40B4-BE49-F238E27FC236}">
              <a16:creationId xmlns:a16="http://schemas.microsoft.com/office/drawing/2014/main" id="{D074F238-80D9-8D07-0618-70F46331F09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426228" y="51294"/>
          <a:ext cx="717926" cy="744563"/>
        </a:xfrm>
        <a:prstGeom prst="rect">
          <a:avLst/>
        </a:prstGeom>
      </xdr:spPr>
    </xdr:pic>
    <xdr:clientData/>
  </xdr:twoCellAnchor>
  <xdr:twoCellAnchor editAs="oneCell">
    <xdr:from>
      <xdr:col>0</xdr:col>
      <xdr:colOff>24581</xdr:colOff>
      <xdr:row>24</xdr:row>
      <xdr:rowOff>179698</xdr:rowOff>
    </xdr:from>
    <xdr:to>
      <xdr:col>3</xdr:col>
      <xdr:colOff>331839</xdr:colOff>
      <xdr:row>41</xdr:row>
      <xdr:rowOff>172065</xdr:rowOff>
    </xdr:to>
    <mc:AlternateContent xmlns:mc="http://schemas.openxmlformats.org/markup-compatibility/2006" xmlns:a14="http://schemas.microsoft.com/office/drawing/2010/main">
      <mc:Choice Requires="a14">
        <xdr:graphicFrame macro="">
          <xdr:nvGraphicFramePr>
            <xdr:cNvPr id="50" name="Region 1">
              <a:extLst>
                <a:ext uri="{FF2B5EF4-FFF2-40B4-BE49-F238E27FC236}">
                  <a16:creationId xmlns:a16="http://schemas.microsoft.com/office/drawing/2014/main" id="{618753ED-AC39-45A9-9429-6EEC0DB2EDF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581" y="4446898"/>
              <a:ext cx="2136058" cy="3014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394473</xdr:colOff>
      <xdr:row>4</xdr:row>
      <xdr:rowOff>164971</xdr:rowOff>
    </xdr:from>
    <xdr:to>
      <xdr:col>20</xdr:col>
      <xdr:colOff>442452</xdr:colOff>
      <xdr:row>9</xdr:row>
      <xdr:rowOff>86032</xdr:rowOff>
    </xdr:to>
    <mc:AlternateContent xmlns:mc="http://schemas.openxmlformats.org/markup-compatibility/2006" xmlns:a14="http://schemas.microsoft.com/office/drawing/2010/main">
      <mc:Choice Requires="a14">
        <xdr:graphicFrame macro="">
          <xdr:nvGraphicFramePr>
            <xdr:cNvPr id="49" name="Month 1">
              <a:extLst>
                <a:ext uri="{FF2B5EF4-FFF2-40B4-BE49-F238E27FC236}">
                  <a16:creationId xmlns:a16="http://schemas.microsoft.com/office/drawing/2014/main" id="{A898721C-194F-4483-8212-7D1F5A8004F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880382" y="892335"/>
              <a:ext cx="3684797" cy="830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12290</xdr:colOff>
      <xdr:row>10</xdr:row>
      <xdr:rowOff>95676</xdr:rowOff>
    </xdr:from>
    <xdr:to>
      <xdr:col>3</xdr:col>
      <xdr:colOff>307258</xdr:colOff>
      <xdr:row>24</xdr:row>
      <xdr:rowOff>61452</xdr:rowOff>
    </xdr:to>
    <mc:AlternateContent xmlns:mc="http://schemas.openxmlformats.org/markup-compatibility/2006" xmlns:a14="http://schemas.microsoft.com/office/drawing/2010/main">
      <mc:Choice Requires="a14">
        <xdr:graphicFrame macro="">
          <xdr:nvGraphicFramePr>
            <xdr:cNvPr id="51" name="Airline 1">
              <a:extLst>
                <a:ext uri="{FF2B5EF4-FFF2-40B4-BE49-F238E27FC236}">
                  <a16:creationId xmlns:a16="http://schemas.microsoft.com/office/drawing/2014/main" id="{16C4E21C-CF60-4CD0-8E9B-A75C862C0F3D}"/>
                </a:ext>
              </a:extLst>
            </xdr:cNvPr>
            <xdr:cNvGraphicFramePr/>
          </xdr:nvGraphicFramePr>
          <xdr:xfrm>
            <a:off x="0" y="0"/>
            <a:ext cx="0" cy="0"/>
          </xdr:xfrm>
          <a:graphic>
            <a:graphicData uri="http://schemas.microsoft.com/office/drawing/2010/slicer">
              <sle:slicer xmlns:sle="http://schemas.microsoft.com/office/drawing/2010/slicer" name="Airline 1"/>
            </a:graphicData>
          </a:graphic>
        </xdr:graphicFrame>
      </mc:Choice>
      <mc:Fallback xmlns="">
        <xdr:sp macro="" textlink="">
          <xdr:nvSpPr>
            <xdr:cNvPr id="0" name=""/>
            <xdr:cNvSpPr>
              <a:spLocks noTextEdit="1"/>
            </xdr:cNvSpPr>
          </xdr:nvSpPr>
          <xdr:spPr>
            <a:xfrm>
              <a:off x="12290" y="1873676"/>
              <a:ext cx="2123768" cy="2454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406201</xdr:colOff>
      <xdr:row>10</xdr:row>
      <xdr:rowOff>2669</xdr:rowOff>
    </xdr:from>
    <xdr:to>
      <xdr:col>12</xdr:col>
      <xdr:colOff>110612</xdr:colOff>
      <xdr:row>25</xdr:row>
      <xdr:rowOff>176302</xdr:rowOff>
    </xdr:to>
    <xdr:grpSp>
      <xdr:nvGrpSpPr>
        <xdr:cNvPr id="65" name="Group 64">
          <a:extLst>
            <a:ext uri="{FF2B5EF4-FFF2-40B4-BE49-F238E27FC236}">
              <a16:creationId xmlns:a16="http://schemas.microsoft.com/office/drawing/2014/main" id="{DA1B4BC4-5348-CACF-D0C4-8974F3456A8A}"/>
            </a:ext>
          </a:extLst>
        </xdr:cNvPr>
        <xdr:cNvGrpSpPr/>
      </xdr:nvGrpSpPr>
      <xdr:grpSpPr>
        <a:xfrm>
          <a:off x="2235001" y="1780669"/>
          <a:ext cx="5190811" cy="2840633"/>
          <a:chOff x="2228128" y="1784430"/>
          <a:chExt cx="4128304" cy="2421038"/>
        </a:xfrm>
      </xdr:grpSpPr>
      <xdr:sp macro="" textlink="">
        <xdr:nvSpPr>
          <xdr:cNvPr id="53" name="Rectangle: Rounded Corners 52">
            <a:extLst>
              <a:ext uri="{FF2B5EF4-FFF2-40B4-BE49-F238E27FC236}">
                <a16:creationId xmlns:a16="http://schemas.microsoft.com/office/drawing/2014/main" id="{C71A509D-2924-D2D1-C9C1-A385EF3BFEF8}"/>
              </a:ext>
            </a:extLst>
          </xdr:cNvPr>
          <xdr:cNvSpPr/>
        </xdr:nvSpPr>
        <xdr:spPr>
          <a:xfrm>
            <a:off x="2228128" y="1784430"/>
            <a:ext cx="4128304" cy="2421038"/>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2060"/>
                </a:solidFill>
                <a:latin typeface="Aptos narrow" panose="020B0004020202020204" pitchFamily="34" charset="0"/>
              </a:rPr>
              <a:t>AIRLINE</a:t>
            </a:r>
            <a:r>
              <a:rPr lang="en-IN" sz="1200" b="1" baseline="0">
                <a:solidFill>
                  <a:srgbClr val="002060"/>
                </a:solidFill>
                <a:latin typeface="Aptos narrow" panose="020B0004020202020204" pitchFamily="34" charset="0"/>
              </a:rPr>
              <a:t>S  REVENUE</a:t>
            </a:r>
            <a:endParaRPr lang="en-IN" sz="1200" b="1">
              <a:solidFill>
                <a:srgbClr val="002060"/>
              </a:solidFill>
              <a:latin typeface="Aptos narrow" panose="020B0004020202020204" pitchFamily="34" charset="0"/>
            </a:endParaRPr>
          </a:p>
        </xdr:txBody>
      </xdr:sp>
      <xdr:graphicFrame macro="">
        <xdr:nvGraphicFramePr>
          <xdr:cNvPr id="56" name="Chart 55">
            <a:extLst>
              <a:ext uri="{FF2B5EF4-FFF2-40B4-BE49-F238E27FC236}">
                <a16:creationId xmlns:a16="http://schemas.microsoft.com/office/drawing/2014/main" id="{0FA62DE4-30D3-4145-BA7B-413E99E95857}"/>
              </a:ext>
            </a:extLst>
          </xdr:cNvPr>
          <xdr:cNvGraphicFramePr>
            <a:graphicFrameLocks/>
          </xdr:cNvGraphicFramePr>
        </xdr:nvGraphicFramePr>
        <xdr:xfrm>
          <a:off x="2266709" y="2102734"/>
          <a:ext cx="4080075" cy="2083443"/>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12</xdr:col>
      <xdr:colOff>152641</xdr:colOff>
      <xdr:row>10</xdr:row>
      <xdr:rowOff>8623</xdr:rowOff>
    </xdr:from>
    <xdr:to>
      <xdr:col>20</xdr:col>
      <xdr:colOff>466897</xdr:colOff>
      <xdr:row>26</xdr:row>
      <xdr:rowOff>1192</xdr:rowOff>
    </xdr:to>
    <xdr:grpSp>
      <xdr:nvGrpSpPr>
        <xdr:cNvPr id="2" name="Group 1">
          <a:extLst>
            <a:ext uri="{FF2B5EF4-FFF2-40B4-BE49-F238E27FC236}">
              <a16:creationId xmlns:a16="http://schemas.microsoft.com/office/drawing/2014/main" id="{3678AEB6-2EC6-5FF4-2597-96F48524BBD7}"/>
            </a:ext>
          </a:extLst>
        </xdr:cNvPr>
        <xdr:cNvGrpSpPr/>
      </xdr:nvGrpSpPr>
      <xdr:grpSpPr>
        <a:xfrm>
          <a:off x="7467841" y="1786623"/>
          <a:ext cx="5191056" cy="2837369"/>
          <a:chOff x="6810624" y="1739040"/>
          <a:chExt cx="4110432" cy="2369406"/>
        </a:xfrm>
      </xdr:grpSpPr>
      <xdr:sp macro="" textlink="">
        <xdr:nvSpPr>
          <xdr:cNvPr id="58" name="Rectangle: Rounded Corners 57">
            <a:extLst>
              <a:ext uri="{FF2B5EF4-FFF2-40B4-BE49-F238E27FC236}">
                <a16:creationId xmlns:a16="http://schemas.microsoft.com/office/drawing/2014/main" id="{5ACC04E8-7EB0-BE4B-F29B-5C83EAB95F98}"/>
              </a:ext>
            </a:extLst>
          </xdr:cNvPr>
          <xdr:cNvSpPr/>
        </xdr:nvSpPr>
        <xdr:spPr>
          <a:xfrm>
            <a:off x="6810624" y="1739040"/>
            <a:ext cx="4110432" cy="2369406"/>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2060"/>
                </a:solidFill>
                <a:latin typeface="Aptos narrow" panose="020B0004020202020204" pitchFamily="34" charset="0"/>
              </a:rPr>
              <a:t>MONTHLY</a:t>
            </a:r>
            <a:r>
              <a:rPr lang="en-IN" sz="1200" b="1" baseline="0">
                <a:solidFill>
                  <a:srgbClr val="002060"/>
                </a:solidFill>
                <a:latin typeface="Aptos narrow" panose="020B0004020202020204" pitchFamily="34" charset="0"/>
              </a:rPr>
              <a:t> PROFIT</a:t>
            </a:r>
            <a:endParaRPr lang="en-IN" sz="1200" b="1">
              <a:solidFill>
                <a:srgbClr val="002060"/>
              </a:solidFill>
              <a:latin typeface="Aptos narrow" panose="020B0004020202020204" pitchFamily="34" charset="0"/>
            </a:endParaRPr>
          </a:p>
        </xdr:txBody>
      </xdr:sp>
      <xdr:graphicFrame macro="">
        <xdr:nvGraphicFramePr>
          <xdr:cNvPr id="61" name="Chart 60">
            <a:extLst>
              <a:ext uri="{FF2B5EF4-FFF2-40B4-BE49-F238E27FC236}">
                <a16:creationId xmlns:a16="http://schemas.microsoft.com/office/drawing/2014/main" id="{A113ED75-0D1D-4B69-9C7C-434CBD384CB4}"/>
              </a:ext>
            </a:extLst>
          </xdr:cNvPr>
          <xdr:cNvGraphicFramePr>
            <a:graphicFrameLocks/>
          </xdr:cNvGraphicFramePr>
        </xdr:nvGraphicFramePr>
        <xdr:xfrm>
          <a:off x="6839561" y="2020464"/>
          <a:ext cx="4071848" cy="2068692"/>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xdr:col>
      <xdr:colOff>437201</xdr:colOff>
      <xdr:row>26</xdr:row>
      <xdr:rowOff>48271</xdr:rowOff>
    </xdr:from>
    <xdr:to>
      <xdr:col>12</xdr:col>
      <xdr:colOff>129990</xdr:colOff>
      <xdr:row>42</xdr:row>
      <xdr:rowOff>17723</xdr:rowOff>
    </xdr:to>
    <xdr:sp macro="" textlink="">
      <xdr:nvSpPr>
        <xdr:cNvPr id="59" name="Rectangle: Rounded Corners 58">
          <a:extLst>
            <a:ext uri="{FF2B5EF4-FFF2-40B4-BE49-F238E27FC236}">
              <a16:creationId xmlns:a16="http://schemas.microsoft.com/office/drawing/2014/main" id="{14923981-8061-5FCE-FC2A-9E7B3E7B9601}"/>
            </a:ext>
          </a:extLst>
        </xdr:cNvPr>
        <xdr:cNvSpPr/>
      </xdr:nvSpPr>
      <xdr:spPr>
        <a:xfrm>
          <a:off x="2266001" y="4925071"/>
          <a:ext cx="5179189" cy="2970560"/>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2060"/>
              </a:solidFill>
              <a:latin typeface="Aptos narrow" panose="020B0004020202020204" pitchFamily="34" charset="0"/>
            </a:rPr>
            <a:t>AIRLINE</a:t>
          </a:r>
          <a:r>
            <a:rPr lang="en-IN" sz="1200" b="1" baseline="0">
              <a:solidFill>
                <a:srgbClr val="002060"/>
              </a:solidFill>
              <a:latin typeface="Aptos narrow" panose="020B0004020202020204" pitchFamily="34" charset="0"/>
            </a:rPr>
            <a:t>S  WISE PASSENGERS</a:t>
          </a:r>
          <a:endParaRPr lang="en-IN" sz="1200" b="1">
            <a:solidFill>
              <a:srgbClr val="002060"/>
            </a:solidFill>
            <a:latin typeface="Aptos narrow" panose="020B0004020202020204" pitchFamily="34" charset="0"/>
          </a:endParaRPr>
        </a:p>
      </xdr:txBody>
    </xdr:sp>
    <xdr:clientData/>
  </xdr:twoCellAnchor>
  <xdr:twoCellAnchor>
    <xdr:from>
      <xdr:col>4</xdr:col>
      <xdr:colOff>46463</xdr:colOff>
      <xdr:row>28</xdr:row>
      <xdr:rowOff>85989</xdr:rowOff>
    </xdr:from>
    <xdr:to>
      <xdr:col>11</xdr:col>
      <xdr:colOff>534330</xdr:colOff>
      <xdr:row>41</xdr:row>
      <xdr:rowOff>53465</xdr:rowOff>
    </xdr:to>
    <xdr:graphicFrame macro="">
      <xdr:nvGraphicFramePr>
        <xdr:cNvPr id="62" name="Chart 61">
          <a:extLst>
            <a:ext uri="{FF2B5EF4-FFF2-40B4-BE49-F238E27FC236}">
              <a16:creationId xmlns:a16="http://schemas.microsoft.com/office/drawing/2014/main" id="{FFC810E0-7570-475C-AE60-4029A4656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167481</xdr:colOff>
      <xdr:row>26</xdr:row>
      <xdr:rowOff>58678</xdr:rowOff>
    </xdr:from>
    <xdr:to>
      <xdr:col>20</xdr:col>
      <xdr:colOff>467481</xdr:colOff>
      <xdr:row>42</xdr:row>
      <xdr:rowOff>113900</xdr:rowOff>
    </xdr:to>
    <xdr:grpSp>
      <xdr:nvGrpSpPr>
        <xdr:cNvPr id="70" name="Group 69">
          <a:extLst>
            <a:ext uri="{FF2B5EF4-FFF2-40B4-BE49-F238E27FC236}">
              <a16:creationId xmlns:a16="http://schemas.microsoft.com/office/drawing/2014/main" id="{A5B372F9-89CB-54E0-3FAF-FE7F40C89503}"/>
            </a:ext>
          </a:extLst>
        </xdr:cNvPr>
        <xdr:cNvGrpSpPr/>
      </xdr:nvGrpSpPr>
      <xdr:grpSpPr>
        <a:xfrm>
          <a:off x="7482681" y="4681478"/>
          <a:ext cx="5176800" cy="2900022"/>
          <a:chOff x="6925521" y="4649165"/>
          <a:chExt cx="4128304" cy="2517493"/>
        </a:xfrm>
      </xdr:grpSpPr>
      <xdr:sp macro="" textlink="">
        <xdr:nvSpPr>
          <xdr:cNvPr id="60" name="Rectangle: Rounded Corners 59">
            <a:extLst>
              <a:ext uri="{FF2B5EF4-FFF2-40B4-BE49-F238E27FC236}">
                <a16:creationId xmlns:a16="http://schemas.microsoft.com/office/drawing/2014/main" id="{3C81F826-B516-2F98-D118-F0EC06534C48}"/>
              </a:ext>
            </a:extLst>
          </xdr:cNvPr>
          <xdr:cNvSpPr/>
        </xdr:nvSpPr>
        <xdr:spPr>
          <a:xfrm>
            <a:off x="6925521" y="4649165"/>
            <a:ext cx="4128304" cy="2421038"/>
          </a:xfrm>
          <a:prstGeom prst="roundRect">
            <a:avLst>
              <a:gd name="adj" fmla="val 1616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2060"/>
                </a:solidFill>
                <a:latin typeface="Aptos narrow" panose="020B0004020202020204" pitchFamily="34" charset="0"/>
              </a:rPr>
              <a:t>FLIGHT</a:t>
            </a:r>
            <a:r>
              <a:rPr lang="en-IN" sz="1200" b="1" baseline="0">
                <a:solidFill>
                  <a:srgbClr val="002060"/>
                </a:solidFill>
                <a:latin typeface="Aptos narrow" panose="020B0004020202020204" pitchFamily="34" charset="0"/>
              </a:rPr>
              <a:t> STATUS</a:t>
            </a:r>
            <a:endParaRPr lang="en-IN" sz="1200" b="1">
              <a:solidFill>
                <a:srgbClr val="002060"/>
              </a:solidFill>
              <a:latin typeface="Aptos narrow" panose="020B0004020202020204" pitchFamily="34" charset="0"/>
            </a:endParaRPr>
          </a:p>
        </xdr:txBody>
      </xdr:sp>
      <xdr:graphicFrame macro="">
        <xdr:nvGraphicFramePr>
          <xdr:cNvPr id="64" name="Chart 63">
            <a:extLst>
              <a:ext uri="{FF2B5EF4-FFF2-40B4-BE49-F238E27FC236}">
                <a16:creationId xmlns:a16="http://schemas.microsoft.com/office/drawing/2014/main" id="{583D2BB9-413C-4F24-A5A1-CEF39BD1B43F}"/>
              </a:ext>
            </a:extLst>
          </xdr:cNvPr>
          <xdr:cNvGraphicFramePr>
            <a:graphicFrameLocks/>
          </xdr:cNvGraphicFramePr>
        </xdr:nvGraphicFramePr>
        <xdr:xfrm>
          <a:off x="7060553" y="4784203"/>
          <a:ext cx="3916103" cy="2382455"/>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Prakasam" refreshedDate="46283.890717361108" createdVersion="8" refreshedVersion="8" minRefreshableVersion="3" recordCount="100" xr:uid="{D5C3C190-15EC-489A-9D52-60DA5F9B320B}">
  <cacheSource type="worksheet">
    <worksheetSource ref="A1:K101" sheet="Raw Data"/>
  </cacheSource>
  <cacheFields count="11">
    <cacheField name="Month" numFmtId="0">
      <sharedItems count="4">
        <s v="October"/>
        <s v="November"/>
        <s v="December"/>
        <s v="January"/>
      </sharedItems>
    </cacheField>
    <cacheField name="Airline" numFmtId="0">
      <sharedItems count="3">
        <s v="Vistara"/>
        <s v="IndiGo"/>
        <s v="Air India"/>
      </sharedItems>
    </cacheField>
    <cacheField name="Region" numFmtId="0">
      <sharedItems count="4">
        <s v="South"/>
        <s v="North"/>
        <s v="West"/>
        <s v="East"/>
      </sharedItems>
    </cacheField>
    <cacheField name="Total Flights" numFmtId="0">
      <sharedItems containsSemiMixedTypes="0" containsString="0" containsNumber="1" containsInteger="1" minValue="45" maxValue="148"/>
    </cacheField>
    <cacheField name="Total Passengers" numFmtId="0">
      <sharedItems containsSemiMixedTypes="0" containsString="0" containsNumber="1" containsInteger="1" minValue="5376" maxValue="20590"/>
    </cacheField>
    <cacheField name="Ticket Price" numFmtId="3">
      <sharedItems containsSemiMixedTypes="0" containsString="0" containsNumber="1" containsInteger="1" minValue="4529" maxValue="8485"/>
    </cacheField>
    <cacheField name="Total Revenue" numFmtId="3">
      <sharedItems containsSemiMixedTypes="0" containsString="0" containsNumber="1" containsInteger="1" minValue="32225568" maxValue="150719368"/>
    </cacheField>
    <cacheField name="Operating Cost" numFmtId="3">
      <sharedItems containsSemiMixedTypes="0" containsString="0" containsNumber="1" containsInteger="1" minValue="23208142" maxValue="122149466"/>
    </cacheField>
    <cacheField name="Profit" numFmtId="3">
      <sharedItems containsSemiMixedTypes="0" containsString="0" containsNumber="1" containsInteger="1" minValue="6322140" maxValue="44818380"/>
    </cacheField>
    <cacheField name="On-Time Flights" numFmtId="0">
      <sharedItems containsSemiMixedTypes="0" containsString="0" containsNumber="1" containsInteger="1" minValue="38" maxValue="137"/>
    </cacheField>
    <cacheField name="Delayed Flights" numFmtId="0">
      <sharedItems containsSemiMixedTypes="0" containsString="0" containsNumber="1" containsInteger="1" minValue="5" maxValue="21"/>
    </cacheField>
  </cacheFields>
  <extLst>
    <ext xmlns:x14="http://schemas.microsoft.com/office/spreadsheetml/2009/9/main" uri="{725AE2AE-9491-48be-B2B4-4EB974FC3084}">
      <x14:pivotCacheDefinition pivotCacheId="938804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48"/>
    <n v="5856"/>
    <n v="5503"/>
    <n v="32225568"/>
    <n v="23208142"/>
    <n v="9017426"/>
    <n v="43"/>
    <n v="5"/>
  </r>
  <r>
    <x v="0"/>
    <x v="0"/>
    <x v="0"/>
    <n v="120"/>
    <n v="15840"/>
    <n v="4630"/>
    <n v="73339200"/>
    <n v="50264010"/>
    <n v="23075190"/>
    <n v="112"/>
    <n v="8"/>
  </r>
  <r>
    <x v="0"/>
    <x v="1"/>
    <x v="0"/>
    <n v="116"/>
    <n v="13572"/>
    <n v="7432"/>
    <n v="100867104"/>
    <n v="80388983"/>
    <n v="20478121"/>
    <n v="103"/>
    <n v="13"/>
  </r>
  <r>
    <x v="0"/>
    <x v="2"/>
    <x v="1"/>
    <n v="102"/>
    <n v="14484"/>
    <n v="5639"/>
    <n v="81675276"/>
    <n v="67439069"/>
    <n v="14236207"/>
    <n v="97"/>
    <n v="5"/>
  </r>
  <r>
    <x v="0"/>
    <x v="1"/>
    <x v="2"/>
    <n v="88"/>
    <n v="10736"/>
    <n v="5136"/>
    <n v="55140096"/>
    <n v="39632301"/>
    <n v="15507795"/>
    <n v="78"/>
    <n v="10"/>
  </r>
  <r>
    <x v="0"/>
    <x v="1"/>
    <x v="0"/>
    <n v="93"/>
    <n v="10323"/>
    <n v="5970"/>
    <n v="61628310"/>
    <n v="51308586"/>
    <n v="10319724"/>
    <n v="84"/>
    <n v="9"/>
  </r>
  <r>
    <x v="0"/>
    <x v="1"/>
    <x v="2"/>
    <n v="113"/>
    <n v="12656"/>
    <n v="8485"/>
    <n v="107386160"/>
    <n v="90850105"/>
    <n v="16536055"/>
    <n v="107"/>
    <n v="6"/>
  </r>
  <r>
    <x v="0"/>
    <x v="0"/>
    <x v="3"/>
    <n v="125"/>
    <n v="18000"/>
    <n v="8126"/>
    <n v="146268000"/>
    <n v="122149466"/>
    <n v="24118534"/>
    <n v="111"/>
    <n v="14"/>
  </r>
  <r>
    <x v="0"/>
    <x v="1"/>
    <x v="0"/>
    <n v="50"/>
    <n v="5950"/>
    <n v="7666"/>
    <n v="45612700"/>
    <n v="33392593"/>
    <n v="12220107"/>
    <n v="45"/>
    <n v="5"/>
  </r>
  <r>
    <x v="0"/>
    <x v="1"/>
    <x v="0"/>
    <n v="93"/>
    <n v="11346"/>
    <n v="6357"/>
    <n v="72126522"/>
    <n v="57298982"/>
    <n v="14827540"/>
    <n v="83"/>
    <n v="10"/>
  </r>
  <r>
    <x v="0"/>
    <x v="1"/>
    <x v="3"/>
    <n v="90"/>
    <n v="10620"/>
    <n v="7245"/>
    <n v="76941900"/>
    <n v="56018012"/>
    <n v="20923888"/>
    <n v="84"/>
    <n v="6"/>
  </r>
  <r>
    <x v="0"/>
    <x v="0"/>
    <x v="1"/>
    <n v="113"/>
    <n v="13560"/>
    <n v="5169"/>
    <n v="70091640"/>
    <n v="53494418"/>
    <n v="16597222"/>
    <n v="104"/>
    <n v="9"/>
  </r>
  <r>
    <x v="0"/>
    <x v="0"/>
    <x v="1"/>
    <n v="132"/>
    <n v="16500"/>
    <n v="7952"/>
    <n v="131208000"/>
    <n v="107367039"/>
    <n v="23840961"/>
    <n v="127"/>
    <n v="5"/>
  </r>
  <r>
    <x v="0"/>
    <x v="1"/>
    <x v="0"/>
    <n v="148"/>
    <n v="18500"/>
    <n v="6143"/>
    <n v="113645500"/>
    <n v="82755898"/>
    <n v="30889602"/>
    <n v="137"/>
    <n v="11"/>
  </r>
  <r>
    <x v="0"/>
    <x v="0"/>
    <x v="3"/>
    <n v="72"/>
    <n v="9792"/>
    <n v="6120"/>
    <n v="59927040"/>
    <n v="50293346"/>
    <n v="9633694"/>
    <n v="62"/>
    <n v="10"/>
  </r>
  <r>
    <x v="0"/>
    <x v="2"/>
    <x v="1"/>
    <n v="78"/>
    <n v="8814"/>
    <n v="5510"/>
    <n v="48565140"/>
    <n v="39536784"/>
    <n v="9028356"/>
    <n v="69"/>
    <n v="9"/>
  </r>
  <r>
    <x v="0"/>
    <x v="2"/>
    <x v="2"/>
    <n v="119"/>
    <n v="15470"/>
    <n v="5982"/>
    <n v="92541540"/>
    <n v="66581577"/>
    <n v="25959963"/>
    <n v="112"/>
    <n v="7"/>
  </r>
  <r>
    <x v="0"/>
    <x v="0"/>
    <x v="2"/>
    <n v="56"/>
    <n v="6048"/>
    <n v="8027"/>
    <n v="48547296"/>
    <n v="33970331"/>
    <n v="14576965"/>
    <n v="50"/>
    <n v="6"/>
  </r>
  <r>
    <x v="0"/>
    <x v="0"/>
    <x v="2"/>
    <n v="121"/>
    <n v="13189"/>
    <n v="6076"/>
    <n v="80136364"/>
    <n v="59997412"/>
    <n v="20138952"/>
    <n v="109"/>
    <n v="12"/>
  </r>
  <r>
    <x v="0"/>
    <x v="0"/>
    <x v="3"/>
    <n v="115"/>
    <n v="12075"/>
    <n v="7286"/>
    <n v="87978450"/>
    <n v="71238783"/>
    <n v="16739667"/>
    <n v="100"/>
    <n v="15"/>
  </r>
  <r>
    <x v="0"/>
    <x v="0"/>
    <x v="3"/>
    <n v="143"/>
    <n v="18018"/>
    <n v="4956"/>
    <n v="89297208"/>
    <n v="65439675"/>
    <n v="23857533"/>
    <n v="133"/>
    <n v="10"/>
  </r>
  <r>
    <x v="0"/>
    <x v="2"/>
    <x v="0"/>
    <n v="137"/>
    <n v="16577"/>
    <n v="8480"/>
    <n v="140572960"/>
    <n v="108256009"/>
    <n v="32316951"/>
    <n v="127"/>
    <n v="10"/>
  </r>
  <r>
    <x v="0"/>
    <x v="0"/>
    <x v="0"/>
    <n v="125"/>
    <n v="15500"/>
    <n v="7947"/>
    <n v="123178500"/>
    <n v="97928251"/>
    <n v="25250249"/>
    <n v="111"/>
    <n v="14"/>
  </r>
  <r>
    <x v="0"/>
    <x v="1"/>
    <x v="1"/>
    <n v="92"/>
    <n v="10580"/>
    <n v="6709"/>
    <n v="70981220"/>
    <n v="60449733"/>
    <n v="10531487"/>
    <n v="79"/>
    <n v="13"/>
  </r>
  <r>
    <x v="0"/>
    <x v="1"/>
    <x v="3"/>
    <n v="107"/>
    <n v="11342"/>
    <n v="4958"/>
    <n v="56233636"/>
    <n v="47643259"/>
    <n v="8590377"/>
    <n v="98"/>
    <n v="9"/>
  </r>
  <r>
    <x v="1"/>
    <x v="1"/>
    <x v="0"/>
    <n v="75"/>
    <n v="10575"/>
    <n v="8378"/>
    <n v="88597350"/>
    <n v="61502177"/>
    <n v="27095173"/>
    <n v="65"/>
    <n v="10"/>
  </r>
  <r>
    <x v="1"/>
    <x v="2"/>
    <x v="0"/>
    <n v="142"/>
    <n v="19738"/>
    <n v="7636"/>
    <n v="150719368"/>
    <n v="105900988"/>
    <n v="44818380"/>
    <n v="122"/>
    <n v="20"/>
  </r>
  <r>
    <x v="1"/>
    <x v="0"/>
    <x v="1"/>
    <n v="78"/>
    <n v="10764"/>
    <n v="8073"/>
    <n v="86897772"/>
    <n v="68578583"/>
    <n v="18319189"/>
    <n v="72"/>
    <n v="6"/>
  </r>
  <r>
    <x v="1"/>
    <x v="0"/>
    <x v="1"/>
    <n v="136"/>
    <n v="16864"/>
    <n v="6134"/>
    <n v="103443776"/>
    <n v="88871328"/>
    <n v="14572448"/>
    <n v="120"/>
    <n v="16"/>
  </r>
  <r>
    <x v="1"/>
    <x v="2"/>
    <x v="2"/>
    <n v="60"/>
    <n v="7200"/>
    <n v="5420"/>
    <n v="39024000"/>
    <n v="26986058"/>
    <n v="12037942"/>
    <n v="55"/>
    <n v="5"/>
  </r>
  <r>
    <x v="1"/>
    <x v="0"/>
    <x v="1"/>
    <n v="120"/>
    <n v="14280"/>
    <n v="4529"/>
    <n v="64674120"/>
    <n v="44804856"/>
    <n v="19869264"/>
    <n v="105"/>
    <n v="15"/>
  </r>
  <r>
    <x v="1"/>
    <x v="1"/>
    <x v="1"/>
    <n v="53"/>
    <n v="5671"/>
    <n v="8021"/>
    <n v="45487091"/>
    <n v="33636663"/>
    <n v="11850428"/>
    <n v="47"/>
    <n v="6"/>
  </r>
  <r>
    <x v="1"/>
    <x v="2"/>
    <x v="2"/>
    <n v="72"/>
    <n v="10008"/>
    <n v="5041"/>
    <n v="50450328"/>
    <n v="40875030"/>
    <n v="9575298"/>
    <n v="63"/>
    <n v="9"/>
  </r>
  <r>
    <x v="1"/>
    <x v="0"/>
    <x v="2"/>
    <n v="76"/>
    <n v="10260"/>
    <n v="7807"/>
    <n v="80099820"/>
    <n v="60336854"/>
    <n v="19762966"/>
    <n v="71"/>
    <n v="5"/>
  </r>
  <r>
    <x v="1"/>
    <x v="1"/>
    <x v="2"/>
    <n v="90"/>
    <n v="11880"/>
    <n v="6183"/>
    <n v="73454040"/>
    <n v="56123619"/>
    <n v="17330421"/>
    <n v="85"/>
    <n v="5"/>
  </r>
  <r>
    <x v="1"/>
    <x v="0"/>
    <x v="0"/>
    <n v="52"/>
    <n v="6760"/>
    <n v="7482"/>
    <n v="50578320"/>
    <n v="37482301"/>
    <n v="13096019"/>
    <n v="47"/>
    <n v="5"/>
  </r>
  <r>
    <x v="1"/>
    <x v="1"/>
    <x v="1"/>
    <n v="69"/>
    <n v="9591"/>
    <n v="6337"/>
    <n v="60778167"/>
    <n v="42862757"/>
    <n v="17915410"/>
    <n v="63"/>
    <n v="6"/>
  </r>
  <r>
    <x v="1"/>
    <x v="2"/>
    <x v="2"/>
    <n v="76"/>
    <n v="8284"/>
    <n v="6315"/>
    <n v="52313460"/>
    <n v="43181831"/>
    <n v="9131629"/>
    <n v="65"/>
    <n v="11"/>
  </r>
  <r>
    <x v="1"/>
    <x v="0"/>
    <x v="0"/>
    <n v="51"/>
    <n v="7089"/>
    <n v="7924"/>
    <n v="56173236"/>
    <n v="38347019"/>
    <n v="17826217"/>
    <n v="46"/>
    <n v="5"/>
  </r>
  <r>
    <x v="1"/>
    <x v="1"/>
    <x v="1"/>
    <n v="97"/>
    <n v="13192"/>
    <n v="6471"/>
    <n v="85365432"/>
    <n v="61332887"/>
    <n v="24032545"/>
    <n v="86"/>
    <n v="11"/>
  </r>
  <r>
    <x v="1"/>
    <x v="1"/>
    <x v="1"/>
    <n v="93"/>
    <n v="9765"/>
    <n v="6099"/>
    <n v="59556735"/>
    <n v="43341612"/>
    <n v="16215123"/>
    <n v="81"/>
    <n v="12"/>
  </r>
  <r>
    <x v="1"/>
    <x v="2"/>
    <x v="2"/>
    <n v="134"/>
    <n v="18760"/>
    <n v="7211"/>
    <n v="135278360"/>
    <n v="109482601"/>
    <n v="25795759"/>
    <n v="125"/>
    <n v="9"/>
  </r>
  <r>
    <x v="1"/>
    <x v="1"/>
    <x v="3"/>
    <n v="72"/>
    <n v="7776"/>
    <n v="6872"/>
    <n v="53436672"/>
    <n v="43413699"/>
    <n v="10022973"/>
    <n v="67"/>
    <n v="5"/>
  </r>
  <r>
    <x v="1"/>
    <x v="0"/>
    <x v="3"/>
    <n v="52"/>
    <n v="5616"/>
    <n v="6892"/>
    <n v="38705472"/>
    <n v="29641499"/>
    <n v="9063973"/>
    <n v="46"/>
    <n v="6"/>
  </r>
  <r>
    <x v="1"/>
    <x v="1"/>
    <x v="0"/>
    <n v="68"/>
    <n v="7412"/>
    <n v="6937"/>
    <n v="51417044"/>
    <n v="35592572"/>
    <n v="15824472"/>
    <n v="62"/>
    <n v="6"/>
  </r>
  <r>
    <x v="1"/>
    <x v="2"/>
    <x v="0"/>
    <n v="117"/>
    <n v="14040"/>
    <n v="6871"/>
    <n v="96468840"/>
    <n v="75922274"/>
    <n v="20546566"/>
    <n v="103"/>
    <n v="14"/>
  </r>
  <r>
    <x v="1"/>
    <x v="1"/>
    <x v="2"/>
    <n v="129"/>
    <n v="18318"/>
    <n v="6815"/>
    <n v="124837170"/>
    <n v="96636564"/>
    <n v="28200606"/>
    <n v="110"/>
    <n v="19"/>
  </r>
  <r>
    <x v="1"/>
    <x v="2"/>
    <x v="1"/>
    <n v="130"/>
    <n v="16250"/>
    <n v="5477"/>
    <n v="89001250"/>
    <n v="64776054"/>
    <n v="24225196"/>
    <n v="123"/>
    <n v="7"/>
  </r>
  <r>
    <x v="1"/>
    <x v="0"/>
    <x v="3"/>
    <n v="103"/>
    <n v="12875"/>
    <n v="8305"/>
    <n v="106926875"/>
    <n v="87181288"/>
    <n v="19745587"/>
    <n v="97"/>
    <n v="6"/>
  </r>
  <r>
    <x v="1"/>
    <x v="1"/>
    <x v="2"/>
    <n v="124"/>
    <n v="17484"/>
    <n v="4909"/>
    <n v="85828956"/>
    <n v="59495510"/>
    <n v="26333446"/>
    <n v="116"/>
    <n v="8"/>
  </r>
  <r>
    <x v="2"/>
    <x v="0"/>
    <x v="3"/>
    <n v="61"/>
    <n v="7747"/>
    <n v="8108"/>
    <n v="62812676"/>
    <n v="43490393"/>
    <n v="19322283"/>
    <n v="55"/>
    <n v="6"/>
  </r>
  <r>
    <x v="2"/>
    <x v="2"/>
    <x v="3"/>
    <n v="65"/>
    <n v="8645"/>
    <n v="7915"/>
    <n v="68425175"/>
    <n v="53219680"/>
    <n v="15205495"/>
    <n v="58"/>
    <n v="7"/>
  </r>
  <r>
    <x v="2"/>
    <x v="0"/>
    <x v="0"/>
    <n v="130"/>
    <n v="18200"/>
    <n v="5726"/>
    <n v="104213200"/>
    <n v="88343206"/>
    <n v="15869994"/>
    <n v="124"/>
    <n v="6"/>
  </r>
  <r>
    <x v="2"/>
    <x v="1"/>
    <x v="3"/>
    <n v="59"/>
    <n v="6549"/>
    <n v="7540"/>
    <n v="49379460"/>
    <n v="38495252"/>
    <n v="10884208"/>
    <n v="52"/>
    <n v="7"/>
  </r>
  <r>
    <x v="2"/>
    <x v="2"/>
    <x v="1"/>
    <n v="136"/>
    <n v="17136"/>
    <n v="5333"/>
    <n v="91386288"/>
    <n v="73451681"/>
    <n v="17934607"/>
    <n v="123"/>
    <n v="13"/>
  </r>
  <r>
    <x v="2"/>
    <x v="0"/>
    <x v="2"/>
    <n v="77"/>
    <n v="8316"/>
    <n v="4878"/>
    <n v="40565448"/>
    <n v="32215910"/>
    <n v="8349538"/>
    <n v="66"/>
    <n v="11"/>
  </r>
  <r>
    <x v="2"/>
    <x v="2"/>
    <x v="0"/>
    <n v="45"/>
    <n v="5670"/>
    <n v="7658"/>
    <n v="43420860"/>
    <n v="30548639"/>
    <n v="12872221"/>
    <n v="38"/>
    <n v="7"/>
  </r>
  <r>
    <x v="2"/>
    <x v="1"/>
    <x v="2"/>
    <n v="115"/>
    <n v="15180"/>
    <n v="6797"/>
    <n v="103178460"/>
    <n v="70340939"/>
    <n v="32837521"/>
    <n v="109"/>
    <n v="6"/>
  </r>
  <r>
    <x v="2"/>
    <x v="0"/>
    <x v="1"/>
    <n v="114"/>
    <n v="12198"/>
    <n v="7918"/>
    <n v="96583764"/>
    <n v="72095808"/>
    <n v="24487956"/>
    <n v="101"/>
    <n v="13"/>
  </r>
  <r>
    <x v="2"/>
    <x v="1"/>
    <x v="2"/>
    <n v="61"/>
    <n v="6527"/>
    <n v="5762"/>
    <n v="37608574"/>
    <n v="28042354"/>
    <n v="9566220"/>
    <n v="56"/>
    <n v="5"/>
  </r>
  <r>
    <x v="2"/>
    <x v="2"/>
    <x v="1"/>
    <n v="132"/>
    <n v="15840"/>
    <n v="7231"/>
    <n v="114539040"/>
    <n v="80005846"/>
    <n v="34533194"/>
    <n v="115"/>
    <n v="17"/>
  </r>
  <r>
    <x v="2"/>
    <x v="0"/>
    <x v="2"/>
    <n v="124"/>
    <n v="14136"/>
    <n v="8291"/>
    <n v="117201576"/>
    <n v="99314105"/>
    <n v="17887471"/>
    <n v="106"/>
    <n v="18"/>
  </r>
  <r>
    <x v="2"/>
    <x v="1"/>
    <x v="1"/>
    <n v="97"/>
    <n v="10282"/>
    <n v="5234"/>
    <n v="53815988"/>
    <n v="43729881"/>
    <n v="10086107"/>
    <n v="87"/>
    <n v="10"/>
  </r>
  <r>
    <x v="2"/>
    <x v="2"/>
    <x v="1"/>
    <n v="79"/>
    <n v="9085"/>
    <n v="7725"/>
    <n v="70181625"/>
    <n v="56582536"/>
    <n v="13599089"/>
    <n v="71"/>
    <n v="8"/>
  </r>
  <r>
    <x v="2"/>
    <x v="1"/>
    <x v="2"/>
    <n v="73"/>
    <n v="8541"/>
    <n v="7844"/>
    <n v="66995604"/>
    <n v="56632813"/>
    <n v="10362791"/>
    <n v="66"/>
    <n v="7"/>
  </r>
  <r>
    <x v="2"/>
    <x v="2"/>
    <x v="1"/>
    <n v="73"/>
    <n v="7738"/>
    <n v="7203"/>
    <n v="55736814"/>
    <n v="39838632"/>
    <n v="15898182"/>
    <n v="66"/>
    <n v="7"/>
  </r>
  <r>
    <x v="2"/>
    <x v="2"/>
    <x v="0"/>
    <n v="143"/>
    <n v="17446"/>
    <n v="5938"/>
    <n v="103594348"/>
    <n v="82405855"/>
    <n v="21188493"/>
    <n v="126"/>
    <n v="17"/>
  </r>
  <r>
    <x v="2"/>
    <x v="0"/>
    <x v="3"/>
    <n v="48"/>
    <n v="5376"/>
    <n v="8092"/>
    <n v="43502592"/>
    <n v="37180452"/>
    <n v="6322140"/>
    <n v="42"/>
    <n v="6"/>
  </r>
  <r>
    <x v="2"/>
    <x v="0"/>
    <x v="3"/>
    <n v="49"/>
    <n v="5439"/>
    <n v="6943"/>
    <n v="37762977"/>
    <n v="28632700"/>
    <n v="9130277"/>
    <n v="42"/>
    <n v="7"/>
  </r>
  <r>
    <x v="2"/>
    <x v="2"/>
    <x v="0"/>
    <n v="94"/>
    <n v="13254"/>
    <n v="5278"/>
    <n v="69954612"/>
    <n v="50776558"/>
    <n v="19178054"/>
    <n v="83"/>
    <n v="11"/>
  </r>
  <r>
    <x v="2"/>
    <x v="1"/>
    <x v="1"/>
    <n v="91"/>
    <n v="12012"/>
    <n v="4786"/>
    <n v="57489432"/>
    <n v="48911859"/>
    <n v="8577573"/>
    <n v="81"/>
    <n v="10"/>
  </r>
  <r>
    <x v="2"/>
    <x v="0"/>
    <x v="3"/>
    <n v="129"/>
    <n v="14448"/>
    <n v="7448"/>
    <n v="107608704"/>
    <n v="90607435"/>
    <n v="17001269"/>
    <n v="116"/>
    <n v="13"/>
  </r>
  <r>
    <x v="2"/>
    <x v="2"/>
    <x v="2"/>
    <n v="86"/>
    <n v="11180"/>
    <n v="7355"/>
    <n v="82228900"/>
    <n v="60291704"/>
    <n v="21937196"/>
    <n v="79"/>
    <n v="7"/>
  </r>
  <r>
    <x v="2"/>
    <x v="1"/>
    <x v="2"/>
    <n v="130"/>
    <n v="16770"/>
    <n v="7274"/>
    <n v="121984980"/>
    <n v="99376798"/>
    <n v="22608182"/>
    <n v="123"/>
    <n v="7"/>
  </r>
  <r>
    <x v="2"/>
    <x v="0"/>
    <x v="3"/>
    <n v="96"/>
    <n v="13440"/>
    <n v="7914"/>
    <n v="106364160"/>
    <n v="72335400"/>
    <n v="34028760"/>
    <n v="87"/>
    <n v="9"/>
  </r>
  <r>
    <x v="3"/>
    <x v="1"/>
    <x v="2"/>
    <n v="145"/>
    <n v="20590"/>
    <n v="6984"/>
    <n v="143800560"/>
    <n v="114730847"/>
    <n v="29069713"/>
    <n v="126"/>
    <n v="19"/>
  </r>
  <r>
    <x v="3"/>
    <x v="2"/>
    <x v="2"/>
    <n v="131"/>
    <n v="15458"/>
    <n v="6593"/>
    <n v="101914594"/>
    <n v="77982347"/>
    <n v="23932247"/>
    <n v="112"/>
    <n v="19"/>
  </r>
  <r>
    <x v="3"/>
    <x v="0"/>
    <x v="1"/>
    <n v="129"/>
    <n v="14190"/>
    <n v="5662"/>
    <n v="80343780"/>
    <n v="62088175"/>
    <n v="18255605"/>
    <n v="114"/>
    <n v="15"/>
  </r>
  <r>
    <x v="3"/>
    <x v="0"/>
    <x v="3"/>
    <n v="56"/>
    <n v="6720"/>
    <n v="7255"/>
    <n v="48753600"/>
    <n v="35876579"/>
    <n v="12877021"/>
    <n v="50"/>
    <n v="6"/>
  </r>
  <r>
    <x v="3"/>
    <x v="1"/>
    <x v="0"/>
    <n v="50"/>
    <n v="6000"/>
    <n v="6446"/>
    <n v="38676000"/>
    <n v="30555173"/>
    <n v="8120827"/>
    <n v="45"/>
    <n v="5"/>
  </r>
  <r>
    <x v="3"/>
    <x v="2"/>
    <x v="2"/>
    <n v="125"/>
    <n v="17625"/>
    <n v="5296"/>
    <n v="93342000"/>
    <n v="75541892"/>
    <n v="17800108"/>
    <n v="114"/>
    <n v="11"/>
  </r>
  <r>
    <x v="3"/>
    <x v="2"/>
    <x v="2"/>
    <n v="76"/>
    <n v="8664"/>
    <n v="7187"/>
    <n v="62268168"/>
    <n v="50049412"/>
    <n v="12218756"/>
    <n v="65"/>
    <n v="11"/>
  </r>
  <r>
    <x v="3"/>
    <x v="1"/>
    <x v="2"/>
    <n v="73"/>
    <n v="8468"/>
    <n v="7793"/>
    <n v="65991124"/>
    <n v="56253070"/>
    <n v="9738054"/>
    <n v="64"/>
    <n v="9"/>
  </r>
  <r>
    <x v="3"/>
    <x v="2"/>
    <x v="0"/>
    <n v="116"/>
    <n v="13920"/>
    <n v="8257"/>
    <n v="114937440"/>
    <n v="95708468"/>
    <n v="19228972"/>
    <n v="104"/>
    <n v="12"/>
  </r>
  <r>
    <x v="3"/>
    <x v="1"/>
    <x v="2"/>
    <n v="130"/>
    <n v="17940"/>
    <n v="6789"/>
    <n v="121794660"/>
    <n v="95874493"/>
    <n v="25920167"/>
    <n v="113"/>
    <n v="17"/>
  </r>
  <r>
    <x v="3"/>
    <x v="2"/>
    <x v="2"/>
    <n v="115"/>
    <n v="15295"/>
    <n v="8174"/>
    <n v="125021330"/>
    <n v="88596168"/>
    <n v="36425162"/>
    <n v="103"/>
    <n v="12"/>
  </r>
  <r>
    <x v="3"/>
    <x v="2"/>
    <x v="3"/>
    <n v="141"/>
    <n v="16920"/>
    <n v="7940"/>
    <n v="134344800"/>
    <n v="106774433"/>
    <n v="27570367"/>
    <n v="120"/>
    <n v="21"/>
  </r>
  <r>
    <x v="3"/>
    <x v="2"/>
    <x v="1"/>
    <n v="80"/>
    <n v="10640"/>
    <n v="4817"/>
    <n v="51252880"/>
    <n v="41434779"/>
    <n v="9818101"/>
    <n v="72"/>
    <n v="8"/>
  </r>
  <r>
    <x v="3"/>
    <x v="2"/>
    <x v="3"/>
    <n v="85"/>
    <n v="11815"/>
    <n v="4830"/>
    <n v="57066450"/>
    <n v="40226558"/>
    <n v="16839892"/>
    <n v="77"/>
    <n v="8"/>
  </r>
  <r>
    <x v="3"/>
    <x v="2"/>
    <x v="1"/>
    <n v="135"/>
    <n v="15930"/>
    <n v="4763"/>
    <n v="75874590"/>
    <n v="57260748"/>
    <n v="18613842"/>
    <n v="120"/>
    <n v="15"/>
  </r>
  <r>
    <x v="3"/>
    <x v="0"/>
    <x v="2"/>
    <n v="98"/>
    <n v="10584"/>
    <n v="5347"/>
    <n v="56592648"/>
    <n v="46967393"/>
    <n v="9625255"/>
    <n v="87"/>
    <n v="11"/>
  </r>
  <r>
    <x v="3"/>
    <x v="0"/>
    <x v="0"/>
    <n v="142"/>
    <n v="20022"/>
    <n v="6058"/>
    <n v="121293276"/>
    <n v="92893225"/>
    <n v="28400051"/>
    <n v="126"/>
    <n v="16"/>
  </r>
  <r>
    <x v="3"/>
    <x v="2"/>
    <x v="2"/>
    <n v="98"/>
    <n v="13622"/>
    <n v="7561"/>
    <n v="102995942"/>
    <n v="83656819"/>
    <n v="19339123"/>
    <n v="84"/>
    <n v="14"/>
  </r>
  <r>
    <x v="3"/>
    <x v="1"/>
    <x v="2"/>
    <n v="73"/>
    <n v="8906"/>
    <n v="6285"/>
    <n v="55974210"/>
    <n v="42955479"/>
    <n v="13018731"/>
    <n v="65"/>
    <n v="8"/>
  </r>
  <r>
    <x v="3"/>
    <x v="2"/>
    <x v="2"/>
    <n v="137"/>
    <n v="15755"/>
    <n v="7942"/>
    <n v="125126210"/>
    <n v="95612719"/>
    <n v="29513491"/>
    <n v="128"/>
    <n v="9"/>
  </r>
  <r>
    <x v="3"/>
    <x v="0"/>
    <x v="0"/>
    <n v="95"/>
    <n v="13490"/>
    <n v="6811"/>
    <n v="91880390"/>
    <n v="73443666"/>
    <n v="18436724"/>
    <n v="89"/>
    <n v="6"/>
  </r>
  <r>
    <x v="3"/>
    <x v="0"/>
    <x v="2"/>
    <n v="62"/>
    <n v="8308"/>
    <n v="5244"/>
    <n v="43567152"/>
    <n v="30019999"/>
    <n v="13547153"/>
    <n v="54"/>
    <n v="8"/>
  </r>
  <r>
    <x v="3"/>
    <x v="2"/>
    <x v="1"/>
    <n v="103"/>
    <n v="12875"/>
    <n v="5882"/>
    <n v="75730750"/>
    <n v="61873639"/>
    <n v="13857111"/>
    <n v="92"/>
    <n v="11"/>
  </r>
  <r>
    <x v="3"/>
    <x v="2"/>
    <x v="2"/>
    <n v="77"/>
    <n v="8470"/>
    <n v="6426"/>
    <n v="54428220"/>
    <n v="37201089"/>
    <n v="17227131"/>
    <n v="68"/>
    <n v="9"/>
  </r>
  <r>
    <x v="3"/>
    <x v="1"/>
    <x v="3"/>
    <n v="73"/>
    <n v="7957"/>
    <n v="7699"/>
    <n v="61260943"/>
    <n v="52213400"/>
    <n v="9047543"/>
    <n v="68"/>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828DE-5989-4870-B79B-8DBF83F583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J4:K8" firstHeaderRow="1" firstDataRow="1" firstDataCol="1"/>
  <pivotFields count="11">
    <pivotField showAll="0">
      <items count="5">
        <item x="3"/>
        <item x="0"/>
        <item x="1"/>
        <item x="2"/>
        <item t="default"/>
      </items>
    </pivotField>
    <pivotField axis="axisRow" showAll="0">
      <items count="4">
        <item x="2"/>
        <item x="1"/>
        <item x="0"/>
        <item t="default"/>
      </items>
    </pivotField>
    <pivotField showAll="0"/>
    <pivotField showAll="0"/>
    <pivotField dataField="1" showAll="0"/>
    <pivotField numFmtId="3" showAll="0"/>
    <pivotField numFmtId="3" showAll="0"/>
    <pivotField numFmtId="3" showAll="0"/>
    <pivotField numFmtId="3" showAll="0"/>
    <pivotField showAll="0"/>
    <pivotField showAll="0"/>
  </pivotFields>
  <rowFields count="1">
    <field x="1"/>
  </rowFields>
  <rowItems count="4">
    <i>
      <x/>
    </i>
    <i>
      <x v="1"/>
    </i>
    <i>
      <x v="2"/>
    </i>
    <i t="grand">
      <x/>
    </i>
  </rowItems>
  <colItems count="1">
    <i/>
  </colItems>
  <dataFields count="1">
    <dataField name="Sum of Total Passengers" fld="4" baseField="0" baseItem="0"/>
  </dataFields>
  <formats count="1">
    <format dxfId="0">
      <pivotArea collapsedLevelsAreSubtotals="1" fieldPosition="0">
        <references count="1">
          <reference field="1" count="1">
            <x v="0"/>
          </reference>
        </references>
      </pivotArea>
    </format>
  </formats>
  <chartFormats count="4">
    <chartFormat chart="0"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D892DC-1707-4B8F-9D80-2318BF6BAE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8:K33" firstHeaderRow="1" firstDataRow="1" firstDataCol="1"/>
  <pivotFields count="11">
    <pivotField axis="axisRow" showAll="0">
      <items count="5">
        <item x="3"/>
        <item x="0"/>
        <item x="1"/>
        <item x="2"/>
        <item t="default"/>
      </items>
    </pivotField>
    <pivotField showAll="0">
      <items count="4">
        <item x="2"/>
        <item x="1"/>
        <item x="0"/>
        <item t="default"/>
      </items>
    </pivotField>
    <pivotField showAll="0">
      <items count="5">
        <item x="3"/>
        <item x="1"/>
        <item x="0"/>
        <item x="2"/>
        <item t="default"/>
      </items>
    </pivotField>
    <pivotField dataField="1" showAll="0"/>
    <pivotField showAll="0"/>
    <pivotField numFmtId="3" showAll="0"/>
    <pivotField numFmtId="3" showAll="0"/>
    <pivotField numFmtId="3" showAll="0"/>
    <pivotField numFmtId="3" showAll="0"/>
    <pivotField showAll="0"/>
    <pivotField showAll="0"/>
  </pivotFields>
  <rowFields count="1">
    <field x="0"/>
  </rowFields>
  <rowItems count="5">
    <i>
      <x/>
    </i>
    <i>
      <x v="1"/>
    </i>
    <i>
      <x v="2"/>
    </i>
    <i>
      <x v="3"/>
    </i>
    <i t="grand">
      <x/>
    </i>
  </rowItems>
  <colItems count="1">
    <i/>
  </colItems>
  <dataFields count="1">
    <dataField name="Sum of Total Flight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0A22A-5FF2-4C3D-BC2B-A5ACC8634E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8:G32" firstHeaderRow="1" firstDataRow="1" firstDataCol="1"/>
  <pivotFields count="11">
    <pivotField showAll="0">
      <items count="5">
        <item x="3"/>
        <item x="0"/>
        <item x="1"/>
        <item x="2"/>
        <item t="default"/>
      </items>
    </pivotField>
    <pivotField axis="axisRow" showAll="0">
      <items count="4">
        <item x="2"/>
        <item x="1"/>
        <item x="0"/>
        <item t="default"/>
      </items>
    </pivotField>
    <pivotField showAll="0">
      <items count="5">
        <item x="3"/>
        <item x="1"/>
        <item x="0"/>
        <item x="2"/>
        <item t="default"/>
      </items>
    </pivotField>
    <pivotField showAll="0"/>
    <pivotField showAll="0"/>
    <pivotField numFmtId="3" showAll="0"/>
    <pivotField numFmtId="3" showAll="0"/>
    <pivotField numFmtId="3" showAll="0"/>
    <pivotField numFmtId="3" showAll="0"/>
    <pivotField showAll="0"/>
    <pivotField dataField="1" showAll="0"/>
  </pivotFields>
  <rowFields count="1">
    <field x="1"/>
  </rowFields>
  <rowItems count="4">
    <i>
      <x/>
    </i>
    <i>
      <x v="1"/>
    </i>
    <i>
      <x v="2"/>
    </i>
    <i t="grand">
      <x/>
    </i>
  </rowItems>
  <colItems count="1">
    <i/>
  </colItems>
  <dataFields count="1">
    <dataField name="Sum of Delayed Flights" fld="10" baseField="0" baseItem="0"/>
  </dataFields>
  <chartFormats count="1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FFAD7-85C5-4B51-A0B7-76F8CCB36D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8:C33" firstHeaderRow="1" firstDataRow="1" firstDataCol="1"/>
  <pivotFields count="11">
    <pivotField showAll="0">
      <items count="5">
        <item x="3"/>
        <item x="0"/>
        <item x="1"/>
        <item x="2"/>
        <item t="default"/>
      </items>
    </pivotField>
    <pivotField showAll="0">
      <items count="4">
        <item x="2"/>
        <item x="1"/>
        <item x="0"/>
        <item t="default"/>
      </items>
    </pivotField>
    <pivotField axis="axisRow" showAll="0">
      <items count="5">
        <item x="3"/>
        <item x="1"/>
        <item x="0"/>
        <item x="2"/>
        <item t="default"/>
      </items>
    </pivotField>
    <pivotField showAll="0"/>
    <pivotField showAll="0"/>
    <pivotField numFmtId="3" showAll="0"/>
    <pivotField dataField="1" numFmtId="3" showAll="0"/>
    <pivotField numFmtId="3" showAll="0"/>
    <pivotField numFmtId="3" showAll="0"/>
    <pivotField showAll="0"/>
    <pivotField showAll="0"/>
  </pivotFields>
  <rowFields count="1">
    <field x="2"/>
  </rowFields>
  <rowItems count="5">
    <i>
      <x/>
    </i>
    <i>
      <x v="1"/>
    </i>
    <i>
      <x v="2"/>
    </i>
    <i>
      <x v="3"/>
    </i>
    <i t="grand">
      <x/>
    </i>
  </rowItems>
  <colItems count="1">
    <i/>
  </colItems>
  <dataFields count="1">
    <dataField name="Sum of Total Revenue" fld="6" baseField="0" baseItem="0" numFmtId="164"/>
  </dataFields>
  <formats count="1">
    <format dxfId="1">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97D57-7A92-4E39-9899-8778F83E3E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F4:G9" firstHeaderRow="1" firstDataRow="1" firstDataCol="1"/>
  <pivotFields count="11">
    <pivotField axis="axisRow" showAll="0">
      <items count="5">
        <item x="3"/>
        <item x="0"/>
        <item x="1"/>
        <item x="2"/>
        <item t="default"/>
      </items>
    </pivotField>
    <pivotField showAll="0">
      <items count="4">
        <item x="2"/>
        <item x="1"/>
        <item x="0"/>
        <item t="default"/>
      </items>
    </pivotField>
    <pivotField showAll="0">
      <items count="5">
        <item x="3"/>
        <item x="1"/>
        <item x="0"/>
        <item x="2"/>
        <item t="default"/>
      </items>
    </pivotField>
    <pivotField showAll="0"/>
    <pivotField showAll="0"/>
    <pivotField numFmtId="3" showAll="0"/>
    <pivotField numFmtId="3" showAll="0"/>
    <pivotField numFmtId="3" showAll="0"/>
    <pivotField dataField="1" numFmtId="3" showAll="0"/>
    <pivotField showAll="0"/>
    <pivotField showAll="0"/>
  </pivotFields>
  <rowFields count="1">
    <field x="0"/>
  </rowFields>
  <rowItems count="5">
    <i>
      <x/>
    </i>
    <i>
      <x v="1"/>
    </i>
    <i>
      <x v="2"/>
    </i>
    <i>
      <x v="3"/>
    </i>
    <i t="grand">
      <x/>
    </i>
  </rowItems>
  <colItems count="1">
    <i/>
  </colItems>
  <dataFields count="1">
    <dataField name="Sum of Profit" fld="8" baseField="0" baseItem="0" numFmtId="164"/>
  </dataFields>
  <formats count="1">
    <format dxfId="2">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3"/>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8F4D6A-7940-4D04-BD48-A838C20AF7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B4:C8" firstHeaderRow="1" firstDataRow="1" firstDataCol="1"/>
  <pivotFields count="11">
    <pivotField showAll="0">
      <items count="5">
        <item x="3"/>
        <item x="0"/>
        <item x="1"/>
        <item x="2"/>
        <item t="default"/>
      </items>
    </pivotField>
    <pivotField axis="axisRow" showAll="0">
      <items count="4">
        <item x="2"/>
        <item x="1"/>
        <item x="0"/>
        <item t="default"/>
      </items>
    </pivotField>
    <pivotField showAll="0">
      <items count="5">
        <item x="3"/>
        <item x="1"/>
        <item x="0"/>
        <item x="2"/>
        <item t="default"/>
      </items>
    </pivotField>
    <pivotField showAll="0"/>
    <pivotField showAll="0"/>
    <pivotField numFmtId="3" showAll="0"/>
    <pivotField dataField="1" numFmtId="3" showAll="0"/>
    <pivotField numFmtId="3" showAll="0"/>
    <pivotField numFmtId="3" showAll="0"/>
    <pivotField showAll="0"/>
    <pivotField showAll="0"/>
  </pivotFields>
  <rowFields count="1">
    <field x="1"/>
  </rowFields>
  <rowItems count="4">
    <i>
      <x/>
    </i>
    <i>
      <x v="1"/>
    </i>
    <i>
      <x v="2"/>
    </i>
    <i t="grand">
      <x/>
    </i>
  </rowItems>
  <colItems count="1">
    <i/>
  </colItems>
  <dataFields count="1">
    <dataField name="Sum of Total Revenue" fld="6" baseField="0" baseItem="0"/>
  </dataFields>
  <formats count="5">
    <format dxfId="7">
      <pivotArea outline="0" collapsedLevelsAreSubtotals="1" fieldPosition="0"/>
    </format>
    <format dxfId="6">
      <pivotArea collapsedLevelsAreSubtotals="1" fieldPosition="0">
        <references count="1">
          <reference field="1" count="1">
            <x v="0"/>
          </reference>
        </references>
      </pivotArea>
    </format>
    <format dxfId="5">
      <pivotArea collapsedLevelsAreSubtotals="1" fieldPosition="0">
        <references count="1">
          <reference field="1" count="2">
            <x v="1"/>
            <x v="2"/>
          </reference>
        </references>
      </pivotArea>
    </format>
    <format dxfId="4">
      <pivotArea grandRow="1" outline="0" collapsedLevelsAreSubtotals="1" fieldPosition="0"/>
    </format>
    <format dxfId="3">
      <pivotArea dataOnly="0" labelOnly="1" grandRow="1" outline="0" fieldPosition="0"/>
    </format>
  </formats>
  <chartFormats count="2">
    <chartFormat chart="0" format="8" series="1">
      <pivotArea type="data" outline="0" fieldPosition="0">
        <references count="1">
          <reference field="4294967294" count="1" selected="0">
            <x v="0"/>
          </reference>
        </references>
      </pivotArea>
    </chartFormat>
    <chartFormat chart="31" format="10"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55AC4A2-5441-4EF9-B046-633F42BDC9D8}" sourceName="Month">
  <pivotTables>
    <pivotTable tabId="5" name="PivotTable8"/>
    <pivotTable tabId="5" name="PivotTable2"/>
    <pivotTable tabId="5" name="PivotTable3"/>
    <pivotTable tabId="5" name="PivotTable4"/>
    <pivotTable tabId="5" name="PivotTable7"/>
    <pivotTable tabId="5" name="PivotTable6"/>
  </pivotTables>
  <data>
    <tabular pivotCacheId="938804779">
      <items count="4">
        <i x="3" s="1"/>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61103D4F-EB71-49B0-A915-9555E6F596EC}" sourceName="Airline">
  <pivotTables>
    <pivotTable tabId="5" name="PivotTable2"/>
    <pivotTable tabId="5" name="PivotTable3"/>
    <pivotTable tabId="5" name="PivotTable4"/>
    <pivotTable tabId="5" name="PivotTable7"/>
    <pivotTable tabId="5" name="PivotTable8"/>
  </pivotTables>
  <data>
    <tabular pivotCacheId="938804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83E8A5-4EA1-47EF-8FDE-CB05AA8E2139}" sourceName="Region">
  <pivotTables>
    <pivotTable tabId="5" name="PivotTable2"/>
    <pivotTable tabId="5" name="PivotTable3"/>
    <pivotTable tabId="5" name="PivotTable4"/>
    <pivotTable tabId="5" name="PivotTable7"/>
    <pivotTable tabId="5" name="PivotTable8"/>
  </pivotTables>
  <data>
    <tabular pivotCacheId="938804779">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64C27B4-028E-47FE-AF96-8C83C307D6D1}" cache="Slicer_Month" caption="Month" columnCount="2" showCaption="0" rowHeight="324000"/>
  <slicer name="Airline" xr10:uid="{32F2B57B-F4C2-4380-846C-88D1D4619D53}" cache="Slicer_Airline" caption="Airline" rowHeight="432000"/>
  <slicer name="Region" xr10:uid="{8F361425-FE4D-401F-ABED-0B7060AB9DB4}" cache="Slicer_Region" caption="Region"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E130205-4548-49CF-A80A-6081218D9763}" cache="Slicer_Month" caption="Month" columnCount="2" showCaption="0" style="SlicerStyleDark1" rowHeight="288000"/>
  <slicer name="Airline 1" xr10:uid="{8C9E441A-10B3-4F7B-9051-F710D1744EB8}" cache="Slicer_Airline" caption="Airline" style="SlicerStyleDark1" rowHeight="432000"/>
  <slicer name="Region 1" xr10:uid="{A3195DD1-517E-409F-9EEA-D045F39B1D5C}" cache="Slicer_Region" caption="Region" style="SlicerStyleDark1" rowHeight="50400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92ACDC-3E77-46E0-9BD4-4E467BB4EB7B}">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zoomScale="82" workbookViewId="0">
      <pane ySplit="1" topLeftCell="A11" activePane="bottomLeft" state="frozen"/>
      <selection pane="bottomLeft" activeCell="N83" sqref="N83"/>
    </sheetView>
  </sheetViews>
  <sheetFormatPr defaultRowHeight="14.4" x14ac:dyDescent="0.3"/>
  <cols>
    <col min="1" max="1" width="14" customWidth="1"/>
    <col min="2" max="2" width="15" customWidth="1"/>
    <col min="3" max="3" width="14" customWidth="1"/>
    <col min="4" max="4" width="15" customWidth="1"/>
    <col min="5" max="5" width="18" customWidth="1"/>
    <col min="6" max="6" width="14" customWidth="1"/>
    <col min="7" max="8" width="18" customWidth="1"/>
    <col min="9" max="11" width="16"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t="s">
        <v>12</v>
      </c>
      <c r="C2" s="2" t="s">
        <v>13</v>
      </c>
      <c r="D2" s="2">
        <v>48</v>
      </c>
      <c r="E2" s="2">
        <v>5856</v>
      </c>
      <c r="F2" s="3">
        <v>5503</v>
      </c>
      <c r="G2" s="3">
        <v>32225568</v>
      </c>
      <c r="H2" s="3">
        <v>23208142</v>
      </c>
      <c r="I2" s="3">
        <v>9017426</v>
      </c>
      <c r="J2" s="2">
        <v>43</v>
      </c>
      <c r="K2" s="2">
        <v>5</v>
      </c>
    </row>
    <row r="3" spans="1:11" x14ac:dyDescent="0.3">
      <c r="A3" s="2" t="s">
        <v>11</v>
      </c>
      <c r="B3" s="2" t="s">
        <v>12</v>
      </c>
      <c r="C3" s="2" t="s">
        <v>13</v>
      </c>
      <c r="D3" s="2">
        <v>120</v>
      </c>
      <c r="E3" s="2">
        <v>15840</v>
      </c>
      <c r="F3" s="3">
        <v>4630</v>
      </c>
      <c r="G3" s="3">
        <v>73339200</v>
      </c>
      <c r="H3" s="3">
        <v>50264010</v>
      </c>
      <c r="I3" s="3">
        <v>23075190</v>
      </c>
      <c r="J3" s="2">
        <v>112</v>
      </c>
      <c r="K3" s="2">
        <v>8</v>
      </c>
    </row>
    <row r="4" spans="1:11" x14ac:dyDescent="0.3">
      <c r="A4" s="2" t="s">
        <v>11</v>
      </c>
      <c r="B4" s="2" t="s">
        <v>14</v>
      </c>
      <c r="C4" s="2" t="s">
        <v>13</v>
      </c>
      <c r="D4" s="2">
        <v>116</v>
      </c>
      <c r="E4" s="2">
        <v>13572</v>
      </c>
      <c r="F4" s="3">
        <v>7432</v>
      </c>
      <c r="G4" s="3">
        <v>100867104</v>
      </c>
      <c r="H4" s="3">
        <v>80388983</v>
      </c>
      <c r="I4" s="3">
        <v>20478121</v>
      </c>
      <c r="J4" s="2">
        <v>103</v>
      </c>
      <c r="K4" s="2">
        <v>13</v>
      </c>
    </row>
    <row r="5" spans="1:11" x14ac:dyDescent="0.3">
      <c r="A5" s="2" t="s">
        <v>11</v>
      </c>
      <c r="B5" s="2" t="s">
        <v>15</v>
      </c>
      <c r="C5" s="2" t="s">
        <v>16</v>
      </c>
      <c r="D5" s="2">
        <v>102</v>
      </c>
      <c r="E5" s="2">
        <v>14484</v>
      </c>
      <c r="F5" s="3">
        <v>5639</v>
      </c>
      <c r="G5" s="3">
        <v>81675276</v>
      </c>
      <c r="H5" s="3">
        <v>67439069</v>
      </c>
      <c r="I5" s="3">
        <v>14236207</v>
      </c>
      <c r="J5" s="2">
        <v>97</v>
      </c>
      <c r="K5" s="2">
        <v>5</v>
      </c>
    </row>
    <row r="6" spans="1:11" x14ac:dyDescent="0.3">
      <c r="A6" s="2" t="s">
        <v>11</v>
      </c>
      <c r="B6" s="2" t="s">
        <v>14</v>
      </c>
      <c r="C6" s="2" t="s">
        <v>17</v>
      </c>
      <c r="D6" s="2">
        <v>88</v>
      </c>
      <c r="E6" s="2">
        <v>10736</v>
      </c>
      <c r="F6" s="3">
        <v>5136</v>
      </c>
      <c r="G6" s="3">
        <v>55140096</v>
      </c>
      <c r="H6" s="3">
        <v>39632301</v>
      </c>
      <c r="I6" s="3">
        <v>15507795</v>
      </c>
      <c r="J6" s="2">
        <v>78</v>
      </c>
      <c r="K6" s="2">
        <v>10</v>
      </c>
    </row>
    <row r="7" spans="1:11" x14ac:dyDescent="0.3">
      <c r="A7" s="2" t="s">
        <v>11</v>
      </c>
      <c r="B7" s="2" t="s">
        <v>14</v>
      </c>
      <c r="C7" s="2" t="s">
        <v>13</v>
      </c>
      <c r="D7" s="2">
        <v>93</v>
      </c>
      <c r="E7" s="2">
        <v>10323</v>
      </c>
      <c r="F7" s="3">
        <v>5970</v>
      </c>
      <c r="G7" s="3">
        <v>61628310</v>
      </c>
      <c r="H7" s="3">
        <v>51308586</v>
      </c>
      <c r="I7" s="3">
        <v>10319724</v>
      </c>
      <c r="J7" s="2">
        <v>84</v>
      </c>
      <c r="K7" s="2">
        <v>9</v>
      </c>
    </row>
    <row r="8" spans="1:11" x14ac:dyDescent="0.3">
      <c r="A8" s="2" t="s">
        <v>11</v>
      </c>
      <c r="B8" s="2" t="s">
        <v>14</v>
      </c>
      <c r="C8" s="2" t="s">
        <v>17</v>
      </c>
      <c r="D8" s="2">
        <v>113</v>
      </c>
      <c r="E8" s="2">
        <v>12656</v>
      </c>
      <c r="F8" s="3">
        <v>8485</v>
      </c>
      <c r="G8" s="3">
        <v>107386160</v>
      </c>
      <c r="H8" s="3">
        <v>90850105</v>
      </c>
      <c r="I8" s="3">
        <v>16536055</v>
      </c>
      <c r="J8" s="2">
        <v>107</v>
      </c>
      <c r="K8" s="2">
        <v>6</v>
      </c>
    </row>
    <row r="9" spans="1:11" x14ac:dyDescent="0.3">
      <c r="A9" s="2" t="s">
        <v>11</v>
      </c>
      <c r="B9" s="2" t="s">
        <v>12</v>
      </c>
      <c r="C9" s="2" t="s">
        <v>18</v>
      </c>
      <c r="D9" s="2">
        <v>125</v>
      </c>
      <c r="E9" s="2">
        <v>18000</v>
      </c>
      <c r="F9" s="3">
        <v>8126</v>
      </c>
      <c r="G9" s="3">
        <v>146268000</v>
      </c>
      <c r="H9" s="3">
        <v>122149466</v>
      </c>
      <c r="I9" s="3">
        <v>24118534</v>
      </c>
      <c r="J9" s="2">
        <v>111</v>
      </c>
      <c r="K9" s="2">
        <v>14</v>
      </c>
    </row>
    <row r="10" spans="1:11" x14ac:dyDescent="0.3">
      <c r="A10" s="2" t="s">
        <v>11</v>
      </c>
      <c r="B10" s="2" t="s">
        <v>14</v>
      </c>
      <c r="C10" s="2" t="s">
        <v>13</v>
      </c>
      <c r="D10" s="2">
        <v>50</v>
      </c>
      <c r="E10" s="2">
        <v>5950</v>
      </c>
      <c r="F10" s="3">
        <v>7666</v>
      </c>
      <c r="G10" s="3">
        <v>45612700</v>
      </c>
      <c r="H10" s="3">
        <v>33392593</v>
      </c>
      <c r="I10" s="3">
        <v>12220107</v>
      </c>
      <c r="J10" s="2">
        <v>45</v>
      </c>
      <c r="K10" s="2">
        <v>5</v>
      </c>
    </row>
    <row r="11" spans="1:11" x14ac:dyDescent="0.3">
      <c r="A11" s="2" t="s">
        <v>11</v>
      </c>
      <c r="B11" s="2" t="s">
        <v>14</v>
      </c>
      <c r="C11" s="2" t="s">
        <v>13</v>
      </c>
      <c r="D11" s="2">
        <v>93</v>
      </c>
      <c r="E11" s="2">
        <v>11346</v>
      </c>
      <c r="F11" s="3">
        <v>6357</v>
      </c>
      <c r="G11" s="3">
        <v>72126522</v>
      </c>
      <c r="H11" s="3">
        <v>57298982</v>
      </c>
      <c r="I11" s="3">
        <v>14827540</v>
      </c>
      <c r="J11" s="2">
        <v>83</v>
      </c>
      <c r="K11" s="2">
        <v>10</v>
      </c>
    </row>
    <row r="12" spans="1:11" x14ac:dyDescent="0.3">
      <c r="A12" s="2" t="s">
        <v>11</v>
      </c>
      <c r="B12" s="2" t="s">
        <v>14</v>
      </c>
      <c r="C12" s="2" t="s">
        <v>18</v>
      </c>
      <c r="D12" s="2">
        <v>90</v>
      </c>
      <c r="E12" s="2">
        <v>10620</v>
      </c>
      <c r="F12" s="3">
        <v>7245</v>
      </c>
      <c r="G12" s="3">
        <v>76941900</v>
      </c>
      <c r="H12" s="3">
        <v>56018012</v>
      </c>
      <c r="I12" s="3">
        <v>20923888</v>
      </c>
      <c r="J12" s="2">
        <v>84</v>
      </c>
      <c r="K12" s="2">
        <v>6</v>
      </c>
    </row>
    <row r="13" spans="1:11" x14ac:dyDescent="0.3">
      <c r="A13" s="2" t="s">
        <v>11</v>
      </c>
      <c r="B13" s="2" t="s">
        <v>12</v>
      </c>
      <c r="C13" s="2" t="s">
        <v>16</v>
      </c>
      <c r="D13" s="2">
        <v>113</v>
      </c>
      <c r="E13" s="2">
        <v>13560</v>
      </c>
      <c r="F13" s="3">
        <v>5169</v>
      </c>
      <c r="G13" s="3">
        <v>70091640</v>
      </c>
      <c r="H13" s="3">
        <v>53494418</v>
      </c>
      <c r="I13" s="3">
        <v>16597222</v>
      </c>
      <c r="J13" s="2">
        <v>104</v>
      </c>
      <c r="K13" s="2">
        <v>9</v>
      </c>
    </row>
    <row r="14" spans="1:11" x14ac:dyDescent="0.3">
      <c r="A14" s="2" t="s">
        <v>11</v>
      </c>
      <c r="B14" s="2" t="s">
        <v>12</v>
      </c>
      <c r="C14" s="2" t="s">
        <v>16</v>
      </c>
      <c r="D14" s="2">
        <v>132</v>
      </c>
      <c r="E14" s="2">
        <v>16500</v>
      </c>
      <c r="F14" s="3">
        <v>7952</v>
      </c>
      <c r="G14" s="3">
        <v>131208000</v>
      </c>
      <c r="H14" s="3">
        <v>107367039</v>
      </c>
      <c r="I14" s="3">
        <v>23840961</v>
      </c>
      <c r="J14" s="2">
        <v>127</v>
      </c>
      <c r="K14" s="2">
        <v>5</v>
      </c>
    </row>
    <row r="15" spans="1:11" x14ac:dyDescent="0.3">
      <c r="A15" s="2" t="s">
        <v>11</v>
      </c>
      <c r="B15" s="2" t="s">
        <v>14</v>
      </c>
      <c r="C15" s="2" t="s">
        <v>13</v>
      </c>
      <c r="D15" s="2">
        <v>148</v>
      </c>
      <c r="E15" s="2">
        <v>18500</v>
      </c>
      <c r="F15" s="3">
        <v>6143</v>
      </c>
      <c r="G15" s="3">
        <v>113645500</v>
      </c>
      <c r="H15" s="3">
        <v>82755898</v>
      </c>
      <c r="I15" s="3">
        <v>30889602</v>
      </c>
      <c r="J15" s="2">
        <v>137</v>
      </c>
      <c r="K15" s="2">
        <v>11</v>
      </c>
    </row>
    <row r="16" spans="1:11" x14ac:dyDescent="0.3">
      <c r="A16" s="2" t="s">
        <v>11</v>
      </c>
      <c r="B16" s="2" t="s">
        <v>12</v>
      </c>
      <c r="C16" s="2" t="s">
        <v>18</v>
      </c>
      <c r="D16" s="2">
        <v>72</v>
      </c>
      <c r="E16" s="2">
        <v>9792</v>
      </c>
      <c r="F16" s="3">
        <v>6120</v>
      </c>
      <c r="G16" s="3">
        <v>59927040</v>
      </c>
      <c r="H16" s="3">
        <v>50293346</v>
      </c>
      <c r="I16" s="3">
        <v>9633694</v>
      </c>
      <c r="J16" s="2">
        <v>62</v>
      </c>
      <c r="K16" s="2">
        <v>10</v>
      </c>
    </row>
    <row r="17" spans="1:11" x14ac:dyDescent="0.3">
      <c r="A17" s="2" t="s">
        <v>11</v>
      </c>
      <c r="B17" s="2" t="s">
        <v>15</v>
      </c>
      <c r="C17" s="2" t="s">
        <v>16</v>
      </c>
      <c r="D17" s="2">
        <v>78</v>
      </c>
      <c r="E17" s="2">
        <v>8814</v>
      </c>
      <c r="F17" s="3">
        <v>5510</v>
      </c>
      <c r="G17" s="3">
        <v>48565140</v>
      </c>
      <c r="H17" s="3">
        <v>39536784</v>
      </c>
      <c r="I17" s="3">
        <v>9028356</v>
      </c>
      <c r="J17" s="2">
        <v>69</v>
      </c>
      <c r="K17" s="2">
        <v>9</v>
      </c>
    </row>
    <row r="18" spans="1:11" x14ac:dyDescent="0.3">
      <c r="A18" s="2" t="s">
        <v>11</v>
      </c>
      <c r="B18" s="2" t="s">
        <v>15</v>
      </c>
      <c r="C18" s="2" t="s">
        <v>17</v>
      </c>
      <c r="D18" s="2">
        <v>119</v>
      </c>
      <c r="E18" s="2">
        <v>15470</v>
      </c>
      <c r="F18" s="3">
        <v>5982</v>
      </c>
      <c r="G18" s="3">
        <v>92541540</v>
      </c>
      <c r="H18" s="3">
        <v>66581577</v>
      </c>
      <c r="I18" s="3">
        <v>25959963</v>
      </c>
      <c r="J18" s="2">
        <v>112</v>
      </c>
      <c r="K18" s="2">
        <v>7</v>
      </c>
    </row>
    <row r="19" spans="1:11" x14ac:dyDescent="0.3">
      <c r="A19" s="2" t="s">
        <v>11</v>
      </c>
      <c r="B19" s="2" t="s">
        <v>12</v>
      </c>
      <c r="C19" s="2" t="s">
        <v>17</v>
      </c>
      <c r="D19" s="2">
        <v>56</v>
      </c>
      <c r="E19" s="2">
        <v>6048</v>
      </c>
      <c r="F19" s="3">
        <v>8027</v>
      </c>
      <c r="G19" s="3">
        <v>48547296</v>
      </c>
      <c r="H19" s="3">
        <v>33970331</v>
      </c>
      <c r="I19" s="3">
        <v>14576965</v>
      </c>
      <c r="J19" s="2">
        <v>50</v>
      </c>
      <c r="K19" s="2">
        <v>6</v>
      </c>
    </row>
    <row r="20" spans="1:11" x14ac:dyDescent="0.3">
      <c r="A20" s="2" t="s">
        <v>11</v>
      </c>
      <c r="B20" s="2" t="s">
        <v>12</v>
      </c>
      <c r="C20" s="2" t="s">
        <v>17</v>
      </c>
      <c r="D20" s="2">
        <v>121</v>
      </c>
      <c r="E20" s="2">
        <v>13189</v>
      </c>
      <c r="F20" s="3">
        <v>6076</v>
      </c>
      <c r="G20" s="3">
        <v>80136364</v>
      </c>
      <c r="H20" s="3">
        <v>59997412</v>
      </c>
      <c r="I20" s="3">
        <v>20138952</v>
      </c>
      <c r="J20" s="2">
        <v>109</v>
      </c>
      <c r="K20" s="2">
        <v>12</v>
      </c>
    </row>
    <row r="21" spans="1:11" x14ac:dyDescent="0.3">
      <c r="A21" s="2" t="s">
        <v>11</v>
      </c>
      <c r="B21" s="2" t="s">
        <v>12</v>
      </c>
      <c r="C21" s="2" t="s">
        <v>18</v>
      </c>
      <c r="D21" s="2">
        <v>115</v>
      </c>
      <c r="E21" s="2">
        <v>12075</v>
      </c>
      <c r="F21" s="3">
        <v>7286</v>
      </c>
      <c r="G21" s="3">
        <v>87978450</v>
      </c>
      <c r="H21" s="3">
        <v>71238783</v>
      </c>
      <c r="I21" s="3">
        <v>16739667</v>
      </c>
      <c r="J21" s="2">
        <v>100</v>
      </c>
      <c r="K21" s="2">
        <v>15</v>
      </c>
    </row>
    <row r="22" spans="1:11" x14ac:dyDescent="0.3">
      <c r="A22" s="2" t="s">
        <v>11</v>
      </c>
      <c r="B22" s="2" t="s">
        <v>12</v>
      </c>
      <c r="C22" s="2" t="s">
        <v>18</v>
      </c>
      <c r="D22" s="2">
        <v>143</v>
      </c>
      <c r="E22" s="2">
        <v>18018</v>
      </c>
      <c r="F22" s="3">
        <v>4956</v>
      </c>
      <c r="G22" s="3">
        <v>89297208</v>
      </c>
      <c r="H22" s="3">
        <v>65439675</v>
      </c>
      <c r="I22" s="3">
        <v>23857533</v>
      </c>
      <c r="J22" s="2">
        <v>133</v>
      </c>
      <c r="K22" s="2">
        <v>10</v>
      </c>
    </row>
    <row r="23" spans="1:11" x14ac:dyDescent="0.3">
      <c r="A23" s="2" t="s">
        <v>11</v>
      </c>
      <c r="B23" s="2" t="s">
        <v>15</v>
      </c>
      <c r="C23" s="2" t="s">
        <v>13</v>
      </c>
      <c r="D23" s="2">
        <v>137</v>
      </c>
      <c r="E23" s="2">
        <v>16577</v>
      </c>
      <c r="F23" s="3">
        <v>8480</v>
      </c>
      <c r="G23" s="3">
        <v>140572960</v>
      </c>
      <c r="H23" s="3">
        <v>108256009</v>
      </c>
      <c r="I23" s="3">
        <v>32316951</v>
      </c>
      <c r="J23" s="2">
        <v>127</v>
      </c>
      <c r="K23" s="2">
        <v>10</v>
      </c>
    </row>
    <row r="24" spans="1:11" x14ac:dyDescent="0.3">
      <c r="A24" s="2" t="s">
        <v>11</v>
      </c>
      <c r="B24" s="2" t="s">
        <v>12</v>
      </c>
      <c r="C24" s="2" t="s">
        <v>13</v>
      </c>
      <c r="D24" s="2">
        <v>125</v>
      </c>
      <c r="E24" s="2">
        <v>15500</v>
      </c>
      <c r="F24" s="3">
        <v>7947</v>
      </c>
      <c r="G24" s="3">
        <v>123178500</v>
      </c>
      <c r="H24" s="3">
        <v>97928251</v>
      </c>
      <c r="I24" s="3">
        <v>25250249</v>
      </c>
      <c r="J24" s="2">
        <v>111</v>
      </c>
      <c r="K24" s="2">
        <v>14</v>
      </c>
    </row>
    <row r="25" spans="1:11" x14ac:dyDescent="0.3">
      <c r="A25" s="2" t="s">
        <v>11</v>
      </c>
      <c r="B25" s="2" t="s">
        <v>14</v>
      </c>
      <c r="C25" s="2" t="s">
        <v>16</v>
      </c>
      <c r="D25" s="2">
        <v>92</v>
      </c>
      <c r="E25" s="2">
        <v>10580</v>
      </c>
      <c r="F25" s="3">
        <v>6709</v>
      </c>
      <c r="G25" s="3">
        <v>70981220</v>
      </c>
      <c r="H25" s="3">
        <v>60449733</v>
      </c>
      <c r="I25" s="3">
        <v>10531487</v>
      </c>
      <c r="J25" s="2">
        <v>79</v>
      </c>
      <c r="K25" s="2">
        <v>13</v>
      </c>
    </row>
    <row r="26" spans="1:11" x14ac:dyDescent="0.3">
      <c r="A26" s="2" t="s">
        <v>11</v>
      </c>
      <c r="B26" s="2" t="s">
        <v>14</v>
      </c>
      <c r="C26" s="2" t="s">
        <v>18</v>
      </c>
      <c r="D26" s="2">
        <v>107</v>
      </c>
      <c r="E26" s="2">
        <v>11342</v>
      </c>
      <c r="F26" s="3">
        <v>4958</v>
      </c>
      <c r="G26" s="3">
        <v>56233636</v>
      </c>
      <c r="H26" s="3">
        <v>47643259</v>
      </c>
      <c r="I26" s="3">
        <v>8590377</v>
      </c>
      <c r="J26" s="2">
        <v>98</v>
      </c>
      <c r="K26" s="2">
        <v>9</v>
      </c>
    </row>
    <row r="27" spans="1:11" x14ac:dyDescent="0.3">
      <c r="A27" s="2" t="s">
        <v>19</v>
      </c>
      <c r="B27" s="2" t="s">
        <v>14</v>
      </c>
      <c r="C27" s="2" t="s">
        <v>13</v>
      </c>
      <c r="D27" s="2">
        <v>75</v>
      </c>
      <c r="E27" s="2">
        <v>10575</v>
      </c>
      <c r="F27" s="3">
        <v>8378</v>
      </c>
      <c r="G27" s="3">
        <v>88597350</v>
      </c>
      <c r="H27" s="3">
        <v>61502177</v>
      </c>
      <c r="I27" s="3">
        <v>27095173</v>
      </c>
      <c r="J27" s="2">
        <v>65</v>
      </c>
      <c r="K27" s="2">
        <v>10</v>
      </c>
    </row>
    <row r="28" spans="1:11" x14ac:dyDescent="0.3">
      <c r="A28" s="2" t="s">
        <v>19</v>
      </c>
      <c r="B28" s="2" t="s">
        <v>15</v>
      </c>
      <c r="C28" s="2" t="s">
        <v>13</v>
      </c>
      <c r="D28" s="2">
        <v>142</v>
      </c>
      <c r="E28" s="2">
        <v>19738</v>
      </c>
      <c r="F28" s="3">
        <v>7636</v>
      </c>
      <c r="G28" s="3">
        <v>150719368</v>
      </c>
      <c r="H28" s="3">
        <v>105900988</v>
      </c>
      <c r="I28" s="3">
        <v>44818380</v>
      </c>
      <c r="J28" s="2">
        <v>122</v>
      </c>
      <c r="K28" s="2">
        <v>20</v>
      </c>
    </row>
    <row r="29" spans="1:11" x14ac:dyDescent="0.3">
      <c r="A29" s="2" t="s">
        <v>19</v>
      </c>
      <c r="B29" s="2" t="s">
        <v>12</v>
      </c>
      <c r="C29" s="2" t="s">
        <v>16</v>
      </c>
      <c r="D29" s="2">
        <v>78</v>
      </c>
      <c r="E29" s="2">
        <v>10764</v>
      </c>
      <c r="F29" s="3">
        <v>8073</v>
      </c>
      <c r="G29" s="3">
        <v>86897772</v>
      </c>
      <c r="H29" s="3">
        <v>68578583</v>
      </c>
      <c r="I29" s="3">
        <v>18319189</v>
      </c>
      <c r="J29" s="2">
        <v>72</v>
      </c>
      <c r="K29" s="2">
        <v>6</v>
      </c>
    </row>
    <row r="30" spans="1:11" x14ac:dyDescent="0.3">
      <c r="A30" s="2" t="s">
        <v>19</v>
      </c>
      <c r="B30" s="2" t="s">
        <v>12</v>
      </c>
      <c r="C30" s="2" t="s">
        <v>16</v>
      </c>
      <c r="D30" s="2">
        <v>136</v>
      </c>
      <c r="E30" s="2">
        <v>16864</v>
      </c>
      <c r="F30" s="3">
        <v>6134</v>
      </c>
      <c r="G30" s="3">
        <v>103443776</v>
      </c>
      <c r="H30" s="3">
        <v>88871328</v>
      </c>
      <c r="I30" s="3">
        <v>14572448</v>
      </c>
      <c r="J30" s="2">
        <v>120</v>
      </c>
      <c r="K30" s="2">
        <v>16</v>
      </c>
    </row>
    <row r="31" spans="1:11" x14ac:dyDescent="0.3">
      <c r="A31" s="2" t="s">
        <v>19</v>
      </c>
      <c r="B31" s="2" t="s">
        <v>15</v>
      </c>
      <c r="C31" s="2" t="s">
        <v>17</v>
      </c>
      <c r="D31" s="2">
        <v>60</v>
      </c>
      <c r="E31" s="2">
        <v>7200</v>
      </c>
      <c r="F31" s="3">
        <v>5420</v>
      </c>
      <c r="G31" s="3">
        <v>39024000</v>
      </c>
      <c r="H31" s="3">
        <v>26986058</v>
      </c>
      <c r="I31" s="3">
        <v>12037942</v>
      </c>
      <c r="J31" s="2">
        <v>55</v>
      </c>
      <c r="K31" s="2">
        <v>5</v>
      </c>
    </row>
    <row r="32" spans="1:11" x14ac:dyDescent="0.3">
      <c r="A32" s="2" t="s">
        <v>19</v>
      </c>
      <c r="B32" s="2" t="s">
        <v>12</v>
      </c>
      <c r="C32" s="2" t="s">
        <v>16</v>
      </c>
      <c r="D32" s="2">
        <v>120</v>
      </c>
      <c r="E32" s="2">
        <v>14280</v>
      </c>
      <c r="F32" s="3">
        <v>4529</v>
      </c>
      <c r="G32" s="3">
        <v>64674120</v>
      </c>
      <c r="H32" s="3">
        <v>44804856</v>
      </c>
      <c r="I32" s="3">
        <v>19869264</v>
      </c>
      <c r="J32" s="2">
        <v>105</v>
      </c>
      <c r="K32" s="2">
        <v>15</v>
      </c>
    </row>
    <row r="33" spans="1:11" x14ac:dyDescent="0.3">
      <c r="A33" s="2" t="s">
        <v>19</v>
      </c>
      <c r="B33" s="2" t="s">
        <v>14</v>
      </c>
      <c r="C33" s="2" t="s">
        <v>16</v>
      </c>
      <c r="D33" s="2">
        <v>53</v>
      </c>
      <c r="E33" s="2">
        <v>5671</v>
      </c>
      <c r="F33" s="3">
        <v>8021</v>
      </c>
      <c r="G33" s="3">
        <v>45487091</v>
      </c>
      <c r="H33" s="3">
        <v>33636663</v>
      </c>
      <c r="I33" s="3">
        <v>11850428</v>
      </c>
      <c r="J33" s="2">
        <v>47</v>
      </c>
      <c r="K33" s="2">
        <v>6</v>
      </c>
    </row>
    <row r="34" spans="1:11" x14ac:dyDescent="0.3">
      <c r="A34" s="2" t="s">
        <v>19</v>
      </c>
      <c r="B34" s="2" t="s">
        <v>15</v>
      </c>
      <c r="C34" s="2" t="s">
        <v>17</v>
      </c>
      <c r="D34" s="2">
        <v>72</v>
      </c>
      <c r="E34" s="2">
        <v>10008</v>
      </c>
      <c r="F34" s="3">
        <v>5041</v>
      </c>
      <c r="G34" s="3">
        <v>50450328</v>
      </c>
      <c r="H34" s="3">
        <v>40875030</v>
      </c>
      <c r="I34" s="3">
        <v>9575298</v>
      </c>
      <c r="J34" s="2">
        <v>63</v>
      </c>
      <c r="K34" s="2">
        <v>9</v>
      </c>
    </row>
    <row r="35" spans="1:11" x14ac:dyDescent="0.3">
      <c r="A35" s="2" t="s">
        <v>19</v>
      </c>
      <c r="B35" s="2" t="s">
        <v>12</v>
      </c>
      <c r="C35" s="2" t="s">
        <v>17</v>
      </c>
      <c r="D35" s="2">
        <v>76</v>
      </c>
      <c r="E35" s="2">
        <v>10260</v>
      </c>
      <c r="F35" s="3">
        <v>7807</v>
      </c>
      <c r="G35" s="3">
        <v>80099820</v>
      </c>
      <c r="H35" s="3">
        <v>60336854</v>
      </c>
      <c r="I35" s="3">
        <v>19762966</v>
      </c>
      <c r="J35" s="2">
        <v>71</v>
      </c>
      <c r="K35" s="2">
        <v>5</v>
      </c>
    </row>
    <row r="36" spans="1:11" x14ac:dyDescent="0.3">
      <c r="A36" s="2" t="s">
        <v>19</v>
      </c>
      <c r="B36" s="2" t="s">
        <v>14</v>
      </c>
      <c r="C36" s="2" t="s">
        <v>17</v>
      </c>
      <c r="D36" s="2">
        <v>90</v>
      </c>
      <c r="E36" s="2">
        <v>11880</v>
      </c>
      <c r="F36" s="3">
        <v>6183</v>
      </c>
      <c r="G36" s="3">
        <v>73454040</v>
      </c>
      <c r="H36" s="3">
        <v>56123619</v>
      </c>
      <c r="I36" s="3">
        <v>17330421</v>
      </c>
      <c r="J36" s="2">
        <v>85</v>
      </c>
      <c r="K36" s="2">
        <v>5</v>
      </c>
    </row>
    <row r="37" spans="1:11" x14ac:dyDescent="0.3">
      <c r="A37" s="2" t="s">
        <v>19</v>
      </c>
      <c r="B37" s="2" t="s">
        <v>12</v>
      </c>
      <c r="C37" s="2" t="s">
        <v>13</v>
      </c>
      <c r="D37" s="2">
        <v>52</v>
      </c>
      <c r="E37" s="2">
        <v>6760</v>
      </c>
      <c r="F37" s="3">
        <v>7482</v>
      </c>
      <c r="G37" s="3">
        <v>50578320</v>
      </c>
      <c r="H37" s="3">
        <v>37482301</v>
      </c>
      <c r="I37" s="3">
        <v>13096019</v>
      </c>
      <c r="J37" s="2">
        <v>47</v>
      </c>
      <c r="K37" s="2">
        <v>5</v>
      </c>
    </row>
    <row r="38" spans="1:11" x14ac:dyDescent="0.3">
      <c r="A38" s="2" t="s">
        <v>19</v>
      </c>
      <c r="B38" s="2" t="s">
        <v>14</v>
      </c>
      <c r="C38" s="2" t="s">
        <v>16</v>
      </c>
      <c r="D38" s="2">
        <v>69</v>
      </c>
      <c r="E38" s="2">
        <v>9591</v>
      </c>
      <c r="F38" s="3">
        <v>6337</v>
      </c>
      <c r="G38" s="3">
        <v>60778167</v>
      </c>
      <c r="H38" s="3">
        <v>42862757</v>
      </c>
      <c r="I38" s="3">
        <v>17915410</v>
      </c>
      <c r="J38" s="2">
        <v>63</v>
      </c>
      <c r="K38" s="2">
        <v>6</v>
      </c>
    </row>
    <row r="39" spans="1:11" x14ac:dyDescent="0.3">
      <c r="A39" s="2" t="s">
        <v>19</v>
      </c>
      <c r="B39" s="2" t="s">
        <v>15</v>
      </c>
      <c r="C39" s="2" t="s">
        <v>17</v>
      </c>
      <c r="D39" s="2">
        <v>76</v>
      </c>
      <c r="E39" s="2">
        <v>8284</v>
      </c>
      <c r="F39" s="3">
        <v>6315</v>
      </c>
      <c r="G39" s="3">
        <v>52313460</v>
      </c>
      <c r="H39" s="3">
        <v>43181831</v>
      </c>
      <c r="I39" s="3">
        <v>9131629</v>
      </c>
      <c r="J39" s="2">
        <v>65</v>
      </c>
      <c r="K39" s="2">
        <v>11</v>
      </c>
    </row>
    <row r="40" spans="1:11" x14ac:dyDescent="0.3">
      <c r="A40" s="2" t="s">
        <v>19</v>
      </c>
      <c r="B40" s="2" t="s">
        <v>12</v>
      </c>
      <c r="C40" s="2" t="s">
        <v>13</v>
      </c>
      <c r="D40" s="2">
        <v>51</v>
      </c>
      <c r="E40" s="2">
        <v>7089</v>
      </c>
      <c r="F40" s="3">
        <v>7924</v>
      </c>
      <c r="G40" s="3">
        <v>56173236</v>
      </c>
      <c r="H40" s="3">
        <v>38347019</v>
      </c>
      <c r="I40" s="3">
        <v>17826217</v>
      </c>
      <c r="J40" s="2">
        <v>46</v>
      </c>
      <c r="K40" s="2">
        <v>5</v>
      </c>
    </row>
    <row r="41" spans="1:11" x14ac:dyDescent="0.3">
      <c r="A41" s="2" t="s">
        <v>19</v>
      </c>
      <c r="B41" s="2" t="s">
        <v>14</v>
      </c>
      <c r="C41" s="2" t="s">
        <v>16</v>
      </c>
      <c r="D41" s="2">
        <v>97</v>
      </c>
      <c r="E41" s="2">
        <v>13192</v>
      </c>
      <c r="F41" s="3">
        <v>6471</v>
      </c>
      <c r="G41" s="3">
        <v>85365432</v>
      </c>
      <c r="H41" s="3">
        <v>61332887</v>
      </c>
      <c r="I41" s="3">
        <v>24032545</v>
      </c>
      <c r="J41" s="2">
        <v>86</v>
      </c>
      <c r="K41" s="2">
        <v>11</v>
      </c>
    </row>
    <row r="42" spans="1:11" x14ac:dyDescent="0.3">
      <c r="A42" s="2" t="s">
        <v>19</v>
      </c>
      <c r="B42" s="2" t="s">
        <v>14</v>
      </c>
      <c r="C42" s="2" t="s">
        <v>16</v>
      </c>
      <c r="D42" s="2">
        <v>93</v>
      </c>
      <c r="E42" s="2">
        <v>9765</v>
      </c>
      <c r="F42" s="3">
        <v>6099</v>
      </c>
      <c r="G42" s="3">
        <v>59556735</v>
      </c>
      <c r="H42" s="3">
        <v>43341612</v>
      </c>
      <c r="I42" s="3">
        <v>16215123</v>
      </c>
      <c r="J42" s="2">
        <v>81</v>
      </c>
      <c r="K42" s="2">
        <v>12</v>
      </c>
    </row>
    <row r="43" spans="1:11" x14ac:dyDescent="0.3">
      <c r="A43" s="2" t="s">
        <v>19</v>
      </c>
      <c r="B43" s="2" t="s">
        <v>15</v>
      </c>
      <c r="C43" s="2" t="s">
        <v>17</v>
      </c>
      <c r="D43" s="2">
        <v>134</v>
      </c>
      <c r="E43" s="2">
        <v>18760</v>
      </c>
      <c r="F43" s="3">
        <v>7211</v>
      </c>
      <c r="G43" s="3">
        <v>135278360</v>
      </c>
      <c r="H43" s="3">
        <v>109482601</v>
      </c>
      <c r="I43" s="3">
        <v>25795759</v>
      </c>
      <c r="J43" s="2">
        <v>125</v>
      </c>
      <c r="K43" s="2">
        <v>9</v>
      </c>
    </row>
    <row r="44" spans="1:11" x14ac:dyDescent="0.3">
      <c r="A44" s="2" t="s">
        <v>19</v>
      </c>
      <c r="B44" s="2" t="s">
        <v>14</v>
      </c>
      <c r="C44" s="2" t="s">
        <v>18</v>
      </c>
      <c r="D44" s="2">
        <v>72</v>
      </c>
      <c r="E44" s="2">
        <v>7776</v>
      </c>
      <c r="F44" s="3">
        <v>6872</v>
      </c>
      <c r="G44" s="3">
        <v>53436672</v>
      </c>
      <c r="H44" s="3">
        <v>43413699</v>
      </c>
      <c r="I44" s="3">
        <v>10022973</v>
      </c>
      <c r="J44" s="2">
        <v>67</v>
      </c>
      <c r="K44" s="2">
        <v>5</v>
      </c>
    </row>
    <row r="45" spans="1:11" x14ac:dyDescent="0.3">
      <c r="A45" s="2" t="s">
        <v>19</v>
      </c>
      <c r="B45" s="2" t="s">
        <v>12</v>
      </c>
      <c r="C45" s="2" t="s">
        <v>18</v>
      </c>
      <c r="D45" s="2">
        <v>52</v>
      </c>
      <c r="E45" s="2">
        <v>5616</v>
      </c>
      <c r="F45" s="3">
        <v>6892</v>
      </c>
      <c r="G45" s="3">
        <v>38705472</v>
      </c>
      <c r="H45" s="3">
        <v>29641499</v>
      </c>
      <c r="I45" s="3">
        <v>9063973</v>
      </c>
      <c r="J45" s="2">
        <v>46</v>
      </c>
      <c r="K45" s="2">
        <v>6</v>
      </c>
    </row>
    <row r="46" spans="1:11" x14ac:dyDescent="0.3">
      <c r="A46" s="2" t="s">
        <v>19</v>
      </c>
      <c r="B46" s="2" t="s">
        <v>14</v>
      </c>
      <c r="C46" s="2" t="s">
        <v>13</v>
      </c>
      <c r="D46" s="2">
        <v>68</v>
      </c>
      <c r="E46" s="2">
        <v>7412</v>
      </c>
      <c r="F46" s="3">
        <v>6937</v>
      </c>
      <c r="G46" s="3">
        <v>51417044</v>
      </c>
      <c r="H46" s="3">
        <v>35592572</v>
      </c>
      <c r="I46" s="3">
        <v>15824472</v>
      </c>
      <c r="J46" s="2">
        <v>62</v>
      </c>
      <c r="K46" s="2">
        <v>6</v>
      </c>
    </row>
    <row r="47" spans="1:11" x14ac:dyDescent="0.3">
      <c r="A47" s="2" t="s">
        <v>19</v>
      </c>
      <c r="B47" s="2" t="s">
        <v>15</v>
      </c>
      <c r="C47" s="2" t="s">
        <v>13</v>
      </c>
      <c r="D47" s="2">
        <v>117</v>
      </c>
      <c r="E47" s="2">
        <v>14040</v>
      </c>
      <c r="F47" s="3">
        <v>6871</v>
      </c>
      <c r="G47" s="3">
        <v>96468840</v>
      </c>
      <c r="H47" s="3">
        <v>75922274</v>
      </c>
      <c r="I47" s="3">
        <v>20546566</v>
      </c>
      <c r="J47" s="2">
        <v>103</v>
      </c>
      <c r="K47" s="2">
        <v>14</v>
      </c>
    </row>
    <row r="48" spans="1:11" x14ac:dyDescent="0.3">
      <c r="A48" s="2" t="s">
        <v>19</v>
      </c>
      <c r="B48" s="2" t="s">
        <v>14</v>
      </c>
      <c r="C48" s="2" t="s">
        <v>17</v>
      </c>
      <c r="D48" s="2">
        <v>129</v>
      </c>
      <c r="E48" s="2">
        <v>18318</v>
      </c>
      <c r="F48" s="3">
        <v>6815</v>
      </c>
      <c r="G48" s="3">
        <v>124837170</v>
      </c>
      <c r="H48" s="3">
        <v>96636564</v>
      </c>
      <c r="I48" s="3">
        <v>28200606</v>
      </c>
      <c r="J48" s="2">
        <v>110</v>
      </c>
      <c r="K48" s="2">
        <v>19</v>
      </c>
    </row>
    <row r="49" spans="1:11" x14ac:dyDescent="0.3">
      <c r="A49" s="2" t="s">
        <v>19</v>
      </c>
      <c r="B49" s="2" t="s">
        <v>15</v>
      </c>
      <c r="C49" s="2" t="s">
        <v>16</v>
      </c>
      <c r="D49" s="2">
        <v>130</v>
      </c>
      <c r="E49" s="2">
        <v>16250</v>
      </c>
      <c r="F49" s="3">
        <v>5477</v>
      </c>
      <c r="G49" s="3">
        <v>89001250</v>
      </c>
      <c r="H49" s="3">
        <v>64776054</v>
      </c>
      <c r="I49" s="3">
        <v>24225196</v>
      </c>
      <c r="J49" s="2">
        <v>123</v>
      </c>
      <c r="K49" s="2">
        <v>7</v>
      </c>
    </row>
    <row r="50" spans="1:11" x14ac:dyDescent="0.3">
      <c r="A50" s="2" t="s">
        <v>19</v>
      </c>
      <c r="B50" s="2" t="s">
        <v>12</v>
      </c>
      <c r="C50" s="2" t="s">
        <v>18</v>
      </c>
      <c r="D50" s="2">
        <v>103</v>
      </c>
      <c r="E50" s="2">
        <v>12875</v>
      </c>
      <c r="F50" s="3">
        <v>8305</v>
      </c>
      <c r="G50" s="3">
        <v>106926875</v>
      </c>
      <c r="H50" s="3">
        <v>87181288</v>
      </c>
      <c r="I50" s="3">
        <v>19745587</v>
      </c>
      <c r="J50" s="2">
        <v>97</v>
      </c>
      <c r="K50" s="2">
        <v>6</v>
      </c>
    </row>
    <row r="51" spans="1:11" x14ac:dyDescent="0.3">
      <c r="A51" s="2" t="s">
        <v>19</v>
      </c>
      <c r="B51" s="2" t="s">
        <v>14</v>
      </c>
      <c r="C51" s="2" t="s">
        <v>17</v>
      </c>
      <c r="D51" s="2">
        <v>124</v>
      </c>
      <c r="E51" s="2">
        <v>17484</v>
      </c>
      <c r="F51" s="3">
        <v>4909</v>
      </c>
      <c r="G51" s="3">
        <v>85828956</v>
      </c>
      <c r="H51" s="3">
        <v>59495510</v>
      </c>
      <c r="I51" s="3">
        <v>26333446</v>
      </c>
      <c r="J51" s="2">
        <v>116</v>
      </c>
      <c r="K51" s="2">
        <v>8</v>
      </c>
    </row>
    <row r="52" spans="1:11" x14ac:dyDescent="0.3">
      <c r="A52" s="2" t="s">
        <v>20</v>
      </c>
      <c r="B52" s="2" t="s">
        <v>12</v>
      </c>
      <c r="C52" s="2" t="s">
        <v>18</v>
      </c>
      <c r="D52" s="2">
        <v>61</v>
      </c>
      <c r="E52" s="2">
        <v>7747</v>
      </c>
      <c r="F52" s="3">
        <v>8108</v>
      </c>
      <c r="G52" s="3">
        <v>62812676</v>
      </c>
      <c r="H52" s="3">
        <v>43490393</v>
      </c>
      <c r="I52" s="3">
        <v>19322283</v>
      </c>
      <c r="J52" s="2">
        <v>55</v>
      </c>
      <c r="K52" s="2">
        <v>6</v>
      </c>
    </row>
    <row r="53" spans="1:11" x14ac:dyDescent="0.3">
      <c r="A53" s="2" t="s">
        <v>20</v>
      </c>
      <c r="B53" s="2" t="s">
        <v>15</v>
      </c>
      <c r="C53" s="2" t="s">
        <v>18</v>
      </c>
      <c r="D53" s="2">
        <v>65</v>
      </c>
      <c r="E53" s="2">
        <v>8645</v>
      </c>
      <c r="F53" s="3">
        <v>7915</v>
      </c>
      <c r="G53" s="3">
        <v>68425175</v>
      </c>
      <c r="H53" s="3">
        <v>53219680</v>
      </c>
      <c r="I53" s="3">
        <v>15205495</v>
      </c>
      <c r="J53" s="2">
        <v>58</v>
      </c>
      <c r="K53" s="2">
        <v>7</v>
      </c>
    </row>
    <row r="54" spans="1:11" x14ac:dyDescent="0.3">
      <c r="A54" s="2" t="s">
        <v>20</v>
      </c>
      <c r="B54" s="2" t="s">
        <v>12</v>
      </c>
      <c r="C54" s="2" t="s">
        <v>13</v>
      </c>
      <c r="D54" s="2">
        <v>130</v>
      </c>
      <c r="E54" s="2">
        <v>18200</v>
      </c>
      <c r="F54" s="3">
        <v>5726</v>
      </c>
      <c r="G54" s="3">
        <v>104213200</v>
      </c>
      <c r="H54" s="3">
        <v>88343206</v>
      </c>
      <c r="I54" s="3">
        <v>15869994</v>
      </c>
      <c r="J54" s="2">
        <v>124</v>
      </c>
      <c r="K54" s="2">
        <v>6</v>
      </c>
    </row>
    <row r="55" spans="1:11" x14ac:dyDescent="0.3">
      <c r="A55" s="2" t="s">
        <v>20</v>
      </c>
      <c r="B55" s="2" t="s">
        <v>14</v>
      </c>
      <c r="C55" s="2" t="s">
        <v>18</v>
      </c>
      <c r="D55" s="2">
        <v>59</v>
      </c>
      <c r="E55" s="2">
        <v>6549</v>
      </c>
      <c r="F55" s="3">
        <v>7540</v>
      </c>
      <c r="G55" s="3">
        <v>49379460</v>
      </c>
      <c r="H55" s="3">
        <v>38495252</v>
      </c>
      <c r="I55" s="3">
        <v>10884208</v>
      </c>
      <c r="J55" s="2">
        <v>52</v>
      </c>
      <c r="K55" s="2">
        <v>7</v>
      </c>
    </row>
    <row r="56" spans="1:11" x14ac:dyDescent="0.3">
      <c r="A56" s="2" t="s">
        <v>20</v>
      </c>
      <c r="B56" s="2" t="s">
        <v>15</v>
      </c>
      <c r="C56" s="2" t="s">
        <v>16</v>
      </c>
      <c r="D56" s="2">
        <v>136</v>
      </c>
      <c r="E56" s="2">
        <v>17136</v>
      </c>
      <c r="F56" s="3">
        <v>5333</v>
      </c>
      <c r="G56" s="3">
        <v>91386288</v>
      </c>
      <c r="H56" s="3">
        <v>73451681</v>
      </c>
      <c r="I56" s="3">
        <v>17934607</v>
      </c>
      <c r="J56" s="2">
        <v>123</v>
      </c>
      <c r="K56" s="2">
        <v>13</v>
      </c>
    </row>
    <row r="57" spans="1:11" x14ac:dyDescent="0.3">
      <c r="A57" s="2" t="s">
        <v>20</v>
      </c>
      <c r="B57" s="2" t="s">
        <v>12</v>
      </c>
      <c r="C57" s="2" t="s">
        <v>17</v>
      </c>
      <c r="D57" s="2">
        <v>77</v>
      </c>
      <c r="E57" s="2">
        <v>8316</v>
      </c>
      <c r="F57" s="3">
        <v>4878</v>
      </c>
      <c r="G57" s="3">
        <v>40565448</v>
      </c>
      <c r="H57" s="3">
        <v>32215910</v>
      </c>
      <c r="I57" s="3">
        <v>8349538</v>
      </c>
      <c r="J57" s="2">
        <v>66</v>
      </c>
      <c r="K57" s="2">
        <v>11</v>
      </c>
    </row>
    <row r="58" spans="1:11" x14ac:dyDescent="0.3">
      <c r="A58" s="2" t="s">
        <v>20</v>
      </c>
      <c r="B58" s="2" t="s">
        <v>15</v>
      </c>
      <c r="C58" s="2" t="s">
        <v>13</v>
      </c>
      <c r="D58" s="2">
        <v>45</v>
      </c>
      <c r="E58" s="2">
        <v>5670</v>
      </c>
      <c r="F58" s="3">
        <v>7658</v>
      </c>
      <c r="G58" s="3">
        <v>43420860</v>
      </c>
      <c r="H58" s="3">
        <v>30548639</v>
      </c>
      <c r="I58" s="3">
        <v>12872221</v>
      </c>
      <c r="J58" s="2">
        <v>38</v>
      </c>
      <c r="K58" s="2">
        <v>7</v>
      </c>
    </row>
    <row r="59" spans="1:11" x14ac:dyDescent="0.3">
      <c r="A59" s="2" t="s">
        <v>20</v>
      </c>
      <c r="B59" s="2" t="s">
        <v>14</v>
      </c>
      <c r="C59" s="2" t="s">
        <v>17</v>
      </c>
      <c r="D59" s="2">
        <v>115</v>
      </c>
      <c r="E59" s="2">
        <v>15180</v>
      </c>
      <c r="F59" s="3">
        <v>6797</v>
      </c>
      <c r="G59" s="3">
        <v>103178460</v>
      </c>
      <c r="H59" s="3">
        <v>70340939</v>
      </c>
      <c r="I59" s="3">
        <v>32837521</v>
      </c>
      <c r="J59" s="2">
        <v>109</v>
      </c>
      <c r="K59" s="2">
        <v>6</v>
      </c>
    </row>
    <row r="60" spans="1:11" x14ac:dyDescent="0.3">
      <c r="A60" s="2" t="s">
        <v>20</v>
      </c>
      <c r="B60" s="2" t="s">
        <v>12</v>
      </c>
      <c r="C60" s="2" t="s">
        <v>16</v>
      </c>
      <c r="D60" s="2">
        <v>114</v>
      </c>
      <c r="E60" s="2">
        <v>12198</v>
      </c>
      <c r="F60" s="3">
        <v>7918</v>
      </c>
      <c r="G60" s="3">
        <v>96583764</v>
      </c>
      <c r="H60" s="3">
        <v>72095808</v>
      </c>
      <c r="I60" s="3">
        <v>24487956</v>
      </c>
      <c r="J60" s="2">
        <v>101</v>
      </c>
      <c r="K60" s="2">
        <v>13</v>
      </c>
    </row>
    <row r="61" spans="1:11" x14ac:dyDescent="0.3">
      <c r="A61" s="2" t="s">
        <v>20</v>
      </c>
      <c r="B61" s="2" t="s">
        <v>14</v>
      </c>
      <c r="C61" s="2" t="s">
        <v>17</v>
      </c>
      <c r="D61" s="2">
        <v>61</v>
      </c>
      <c r="E61" s="2">
        <v>6527</v>
      </c>
      <c r="F61" s="3">
        <v>5762</v>
      </c>
      <c r="G61" s="3">
        <v>37608574</v>
      </c>
      <c r="H61" s="3">
        <v>28042354</v>
      </c>
      <c r="I61" s="3">
        <v>9566220</v>
      </c>
      <c r="J61" s="2">
        <v>56</v>
      </c>
      <c r="K61" s="2">
        <v>5</v>
      </c>
    </row>
    <row r="62" spans="1:11" x14ac:dyDescent="0.3">
      <c r="A62" s="2" t="s">
        <v>20</v>
      </c>
      <c r="B62" s="2" t="s">
        <v>15</v>
      </c>
      <c r="C62" s="2" t="s">
        <v>16</v>
      </c>
      <c r="D62" s="2">
        <v>132</v>
      </c>
      <c r="E62" s="2">
        <v>15840</v>
      </c>
      <c r="F62" s="3">
        <v>7231</v>
      </c>
      <c r="G62" s="3">
        <v>114539040</v>
      </c>
      <c r="H62" s="3">
        <v>80005846</v>
      </c>
      <c r="I62" s="3">
        <v>34533194</v>
      </c>
      <c r="J62" s="2">
        <v>115</v>
      </c>
      <c r="K62" s="2">
        <v>17</v>
      </c>
    </row>
    <row r="63" spans="1:11" x14ac:dyDescent="0.3">
      <c r="A63" s="2" t="s">
        <v>20</v>
      </c>
      <c r="B63" s="2" t="s">
        <v>12</v>
      </c>
      <c r="C63" s="2" t="s">
        <v>17</v>
      </c>
      <c r="D63" s="2">
        <v>124</v>
      </c>
      <c r="E63" s="2">
        <v>14136</v>
      </c>
      <c r="F63" s="3">
        <v>8291</v>
      </c>
      <c r="G63" s="3">
        <v>117201576</v>
      </c>
      <c r="H63" s="3">
        <v>99314105</v>
      </c>
      <c r="I63" s="3">
        <v>17887471</v>
      </c>
      <c r="J63" s="2">
        <v>106</v>
      </c>
      <c r="K63" s="2">
        <v>18</v>
      </c>
    </row>
    <row r="64" spans="1:11" x14ac:dyDescent="0.3">
      <c r="A64" s="2" t="s">
        <v>20</v>
      </c>
      <c r="B64" s="2" t="s">
        <v>14</v>
      </c>
      <c r="C64" s="2" t="s">
        <v>16</v>
      </c>
      <c r="D64" s="2">
        <v>97</v>
      </c>
      <c r="E64" s="2">
        <v>10282</v>
      </c>
      <c r="F64" s="3">
        <v>5234</v>
      </c>
      <c r="G64" s="3">
        <v>53815988</v>
      </c>
      <c r="H64" s="3">
        <v>43729881</v>
      </c>
      <c r="I64" s="3">
        <v>10086107</v>
      </c>
      <c r="J64" s="2">
        <v>87</v>
      </c>
      <c r="K64" s="2">
        <v>10</v>
      </c>
    </row>
    <row r="65" spans="1:11" x14ac:dyDescent="0.3">
      <c r="A65" s="2" t="s">
        <v>20</v>
      </c>
      <c r="B65" s="2" t="s">
        <v>15</v>
      </c>
      <c r="C65" s="2" t="s">
        <v>16</v>
      </c>
      <c r="D65" s="2">
        <v>79</v>
      </c>
      <c r="E65" s="2">
        <v>9085</v>
      </c>
      <c r="F65" s="3">
        <v>7725</v>
      </c>
      <c r="G65" s="3">
        <v>70181625</v>
      </c>
      <c r="H65" s="3">
        <v>56582536</v>
      </c>
      <c r="I65" s="3">
        <v>13599089</v>
      </c>
      <c r="J65" s="2">
        <v>71</v>
      </c>
      <c r="K65" s="2">
        <v>8</v>
      </c>
    </row>
    <row r="66" spans="1:11" x14ac:dyDescent="0.3">
      <c r="A66" s="2" t="s">
        <v>20</v>
      </c>
      <c r="B66" s="2" t="s">
        <v>14</v>
      </c>
      <c r="C66" s="2" t="s">
        <v>17</v>
      </c>
      <c r="D66" s="2">
        <v>73</v>
      </c>
      <c r="E66" s="2">
        <v>8541</v>
      </c>
      <c r="F66" s="3">
        <v>7844</v>
      </c>
      <c r="G66" s="3">
        <v>66995604</v>
      </c>
      <c r="H66" s="3">
        <v>56632813</v>
      </c>
      <c r="I66" s="3">
        <v>10362791</v>
      </c>
      <c r="J66" s="2">
        <v>66</v>
      </c>
      <c r="K66" s="2">
        <v>7</v>
      </c>
    </row>
    <row r="67" spans="1:11" x14ac:dyDescent="0.3">
      <c r="A67" s="2" t="s">
        <v>20</v>
      </c>
      <c r="B67" s="2" t="s">
        <v>15</v>
      </c>
      <c r="C67" s="2" t="s">
        <v>16</v>
      </c>
      <c r="D67" s="2">
        <v>73</v>
      </c>
      <c r="E67" s="2">
        <v>7738</v>
      </c>
      <c r="F67" s="3">
        <v>7203</v>
      </c>
      <c r="G67" s="3">
        <v>55736814</v>
      </c>
      <c r="H67" s="3">
        <v>39838632</v>
      </c>
      <c r="I67" s="3">
        <v>15898182</v>
      </c>
      <c r="J67" s="2">
        <v>66</v>
      </c>
      <c r="K67" s="2">
        <v>7</v>
      </c>
    </row>
    <row r="68" spans="1:11" x14ac:dyDescent="0.3">
      <c r="A68" s="2" t="s">
        <v>20</v>
      </c>
      <c r="B68" s="2" t="s">
        <v>15</v>
      </c>
      <c r="C68" s="2" t="s">
        <v>13</v>
      </c>
      <c r="D68" s="2">
        <v>143</v>
      </c>
      <c r="E68" s="2">
        <v>17446</v>
      </c>
      <c r="F68" s="3">
        <v>5938</v>
      </c>
      <c r="G68" s="3">
        <v>103594348</v>
      </c>
      <c r="H68" s="3">
        <v>82405855</v>
      </c>
      <c r="I68" s="3">
        <v>21188493</v>
      </c>
      <c r="J68" s="2">
        <v>126</v>
      </c>
      <c r="K68" s="2">
        <v>17</v>
      </c>
    </row>
    <row r="69" spans="1:11" x14ac:dyDescent="0.3">
      <c r="A69" s="2" t="s">
        <v>20</v>
      </c>
      <c r="B69" s="2" t="s">
        <v>12</v>
      </c>
      <c r="C69" s="2" t="s">
        <v>18</v>
      </c>
      <c r="D69" s="2">
        <v>48</v>
      </c>
      <c r="E69" s="2">
        <v>5376</v>
      </c>
      <c r="F69" s="3">
        <v>8092</v>
      </c>
      <c r="G69" s="3">
        <v>43502592</v>
      </c>
      <c r="H69" s="3">
        <v>37180452</v>
      </c>
      <c r="I69" s="3">
        <v>6322140</v>
      </c>
      <c r="J69" s="2">
        <v>42</v>
      </c>
      <c r="K69" s="2">
        <v>6</v>
      </c>
    </row>
    <row r="70" spans="1:11" x14ac:dyDescent="0.3">
      <c r="A70" s="2" t="s">
        <v>20</v>
      </c>
      <c r="B70" s="2" t="s">
        <v>12</v>
      </c>
      <c r="C70" s="2" t="s">
        <v>18</v>
      </c>
      <c r="D70" s="2">
        <v>49</v>
      </c>
      <c r="E70" s="2">
        <v>5439</v>
      </c>
      <c r="F70" s="3">
        <v>6943</v>
      </c>
      <c r="G70" s="3">
        <v>37762977</v>
      </c>
      <c r="H70" s="3">
        <v>28632700</v>
      </c>
      <c r="I70" s="3">
        <v>9130277</v>
      </c>
      <c r="J70" s="2">
        <v>42</v>
      </c>
      <c r="K70" s="2">
        <v>7</v>
      </c>
    </row>
    <row r="71" spans="1:11" x14ac:dyDescent="0.3">
      <c r="A71" s="2" t="s">
        <v>20</v>
      </c>
      <c r="B71" s="2" t="s">
        <v>15</v>
      </c>
      <c r="C71" s="2" t="s">
        <v>13</v>
      </c>
      <c r="D71" s="2">
        <v>94</v>
      </c>
      <c r="E71" s="2">
        <v>13254</v>
      </c>
      <c r="F71" s="3">
        <v>5278</v>
      </c>
      <c r="G71" s="3">
        <v>69954612</v>
      </c>
      <c r="H71" s="3">
        <v>50776558</v>
      </c>
      <c r="I71" s="3">
        <v>19178054</v>
      </c>
      <c r="J71" s="2">
        <v>83</v>
      </c>
      <c r="K71" s="2">
        <v>11</v>
      </c>
    </row>
    <row r="72" spans="1:11" x14ac:dyDescent="0.3">
      <c r="A72" s="2" t="s">
        <v>20</v>
      </c>
      <c r="B72" s="2" t="s">
        <v>14</v>
      </c>
      <c r="C72" s="2" t="s">
        <v>16</v>
      </c>
      <c r="D72" s="2">
        <v>91</v>
      </c>
      <c r="E72" s="2">
        <v>12012</v>
      </c>
      <c r="F72" s="3">
        <v>4786</v>
      </c>
      <c r="G72" s="3">
        <v>57489432</v>
      </c>
      <c r="H72" s="3">
        <v>48911859</v>
      </c>
      <c r="I72" s="3">
        <v>8577573</v>
      </c>
      <c r="J72" s="2">
        <v>81</v>
      </c>
      <c r="K72" s="2">
        <v>10</v>
      </c>
    </row>
    <row r="73" spans="1:11" x14ac:dyDescent="0.3">
      <c r="A73" s="2" t="s">
        <v>20</v>
      </c>
      <c r="B73" s="2" t="s">
        <v>12</v>
      </c>
      <c r="C73" s="2" t="s">
        <v>18</v>
      </c>
      <c r="D73" s="2">
        <v>129</v>
      </c>
      <c r="E73" s="2">
        <v>14448</v>
      </c>
      <c r="F73" s="3">
        <v>7448</v>
      </c>
      <c r="G73" s="3">
        <v>107608704</v>
      </c>
      <c r="H73" s="3">
        <v>90607435</v>
      </c>
      <c r="I73" s="3">
        <v>17001269</v>
      </c>
      <c r="J73" s="2">
        <v>116</v>
      </c>
      <c r="K73" s="2">
        <v>13</v>
      </c>
    </row>
    <row r="74" spans="1:11" x14ac:dyDescent="0.3">
      <c r="A74" s="2" t="s">
        <v>20</v>
      </c>
      <c r="B74" s="2" t="s">
        <v>15</v>
      </c>
      <c r="C74" s="2" t="s">
        <v>17</v>
      </c>
      <c r="D74" s="2">
        <v>86</v>
      </c>
      <c r="E74" s="2">
        <v>11180</v>
      </c>
      <c r="F74" s="3">
        <v>7355</v>
      </c>
      <c r="G74" s="3">
        <v>82228900</v>
      </c>
      <c r="H74" s="3">
        <v>60291704</v>
      </c>
      <c r="I74" s="3">
        <v>21937196</v>
      </c>
      <c r="J74" s="2">
        <v>79</v>
      </c>
      <c r="K74" s="2">
        <v>7</v>
      </c>
    </row>
    <row r="75" spans="1:11" x14ac:dyDescent="0.3">
      <c r="A75" s="2" t="s">
        <v>20</v>
      </c>
      <c r="B75" s="2" t="s">
        <v>14</v>
      </c>
      <c r="C75" s="2" t="s">
        <v>17</v>
      </c>
      <c r="D75" s="2">
        <v>130</v>
      </c>
      <c r="E75" s="2">
        <v>16770</v>
      </c>
      <c r="F75" s="3">
        <v>7274</v>
      </c>
      <c r="G75" s="3">
        <v>121984980</v>
      </c>
      <c r="H75" s="3">
        <v>99376798</v>
      </c>
      <c r="I75" s="3">
        <v>22608182</v>
      </c>
      <c r="J75" s="2">
        <v>123</v>
      </c>
      <c r="K75" s="2">
        <v>7</v>
      </c>
    </row>
    <row r="76" spans="1:11" x14ac:dyDescent="0.3">
      <c r="A76" s="2" t="s">
        <v>20</v>
      </c>
      <c r="B76" s="2" t="s">
        <v>12</v>
      </c>
      <c r="C76" s="2" t="s">
        <v>18</v>
      </c>
      <c r="D76" s="2">
        <v>96</v>
      </c>
      <c r="E76" s="2">
        <v>13440</v>
      </c>
      <c r="F76" s="3">
        <v>7914</v>
      </c>
      <c r="G76" s="3">
        <v>106364160</v>
      </c>
      <c r="H76" s="3">
        <v>72335400</v>
      </c>
      <c r="I76" s="3">
        <v>34028760</v>
      </c>
      <c r="J76" s="2">
        <v>87</v>
      </c>
      <c r="K76" s="2">
        <v>9</v>
      </c>
    </row>
    <row r="77" spans="1:11" x14ac:dyDescent="0.3">
      <c r="A77" s="2" t="s">
        <v>21</v>
      </c>
      <c r="B77" s="2" t="s">
        <v>14</v>
      </c>
      <c r="C77" s="2" t="s">
        <v>17</v>
      </c>
      <c r="D77" s="2">
        <v>145</v>
      </c>
      <c r="E77" s="2">
        <v>20590</v>
      </c>
      <c r="F77" s="3">
        <v>6984</v>
      </c>
      <c r="G77" s="3">
        <v>143800560</v>
      </c>
      <c r="H77" s="3">
        <v>114730847</v>
      </c>
      <c r="I77" s="3">
        <v>29069713</v>
      </c>
      <c r="J77" s="2">
        <v>126</v>
      </c>
      <c r="K77" s="2">
        <v>19</v>
      </c>
    </row>
    <row r="78" spans="1:11" x14ac:dyDescent="0.3">
      <c r="A78" s="2" t="s">
        <v>21</v>
      </c>
      <c r="B78" s="2" t="s">
        <v>15</v>
      </c>
      <c r="C78" s="2" t="s">
        <v>17</v>
      </c>
      <c r="D78" s="2">
        <v>131</v>
      </c>
      <c r="E78" s="2">
        <v>15458</v>
      </c>
      <c r="F78" s="3">
        <v>6593</v>
      </c>
      <c r="G78" s="3">
        <v>101914594</v>
      </c>
      <c r="H78" s="3">
        <v>77982347</v>
      </c>
      <c r="I78" s="3">
        <v>23932247</v>
      </c>
      <c r="J78" s="2">
        <v>112</v>
      </c>
      <c r="K78" s="2">
        <v>19</v>
      </c>
    </row>
    <row r="79" spans="1:11" x14ac:dyDescent="0.3">
      <c r="A79" s="2" t="s">
        <v>21</v>
      </c>
      <c r="B79" s="2" t="s">
        <v>12</v>
      </c>
      <c r="C79" s="2" t="s">
        <v>16</v>
      </c>
      <c r="D79" s="2">
        <v>129</v>
      </c>
      <c r="E79" s="2">
        <v>14190</v>
      </c>
      <c r="F79" s="3">
        <v>5662</v>
      </c>
      <c r="G79" s="3">
        <v>80343780</v>
      </c>
      <c r="H79" s="3">
        <v>62088175</v>
      </c>
      <c r="I79" s="3">
        <v>18255605</v>
      </c>
      <c r="J79" s="2">
        <v>114</v>
      </c>
      <c r="K79" s="2">
        <v>15</v>
      </c>
    </row>
    <row r="80" spans="1:11" x14ac:dyDescent="0.3">
      <c r="A80" s="2" t="s">
        <v>21</v>
      </c>
      <c r="B80" s="2" t="s">
        <v>12</v>
      </c>
      <c r="C80" s="2" t="s">
        <v>18</v>
      </c>
      <c r="D80" s="2">
        <v>56</v>
      </c>
      <c r="E80" s="2">
        <v>6720</v>
      </c>
      <c r="F80" s="3">
        <v>7255</v>
      </c>
      <c r="G80" s="3">
        <v>48753600</v>
      </c>
      <c r="H80" s="3">
        <v>35876579</v>
      </c>
      <c r="I80" s="3">
        <v>12877021</v>
      </c>
      <c r="J80" s="2">
        <v>50</v>
      </c>
      <c r="K80" s="2">
        <v>6</v>
      </c>
    </row>
    <row r="81" spans="1:11" x14ac:dyDescent="0.3">
      <c r="A81" s="2" t="s">
        <v>21</v>
      </c>
      <c r="B81" s="2" t="s">
        <v>14</v>
      </c>
      <c r="C81" s="2" t="s">
        <v>13</v>
      </c>
      <c r="D81" s="2">
        <v>50</v>
      </c>
      <c r="E81" s="2">
        <v>6000</v>
      </c>
      <c r="F81" s="3">
        <v>6446</v>
      </c>
      <c r="G81" s="3">
        <v>38676000</v>
      </c>
      <c r="H81" s="3">
        <v>30555173</v>
      </c>
      <c r="I81" s="3">
        <v>8120827</v>
      </c>
      <c r="J81" s="2">
        <v>45</v>
      </c>
      <c r="K81" s="2">
        <v>5</v>
      </c>
    </row>
    <row r="82" spans="1:11" x14ac:dyDescent="0.3">
      <c r="A82" s="2" t="s">
        <v>21</v>
      </c>
      <c r="B82" s="2" t="s">
        <v>15</v>
      </c>
      <c r="C82" s="2" t="s">
        <v>17</v>
      </c>
      <c r="D82" s="2">
        <v>125</v>
      </c>
      <c r="E82" s="2">
        <v>17625</v>
      </c>
      <c r="F82" s="3">
        <v>5296</v>
      </c>
      <c r="G82" s="3">
        <v>93342000</v>
      </c>
      <c r="H82" s="3">
        <v>75541892</v>
      </c>
      <c r="I82" s="3">
        <v>17800108</v>
      </c>
      <c r="J82" s="2">
        <v>114</v>
      </c>
      <c r="K82" s="2">
        <v>11</v>
      </c>
    </row>
    <row r="83" spans="1:11" x14ac:dyDescent="0.3">
      <c r="A83" s="2" t="s">
        <v>21</v>
      </c>
      <c r="B83" s="2" t="s">
        <v>15</v>
      </c>
      <c r="C83" s="2" t="s">
        <v>17</v>
      </c>
      <c r="D83" s="2">
        <v>76</v>
      </c>
      <c r="E83" s="2">
        <v>8664</v>
      </c>
      <c r="F83" s="3">
        <v>7187</v>
      </c>
      <c r="G83" s="3">
        <v>62268168</v>
      </c>
      <c r="H83" s="3">
        <v>50049412</v>
      </c>
      <c r="I83" s="3">
        <v>12218756</v>
      </c>
      <c r="J83" s="2">
        <v>65</v>
      </c>
      <c r="K83" s="2">
        <v>11</v>
      </c>
    </row>
    <row r="84" spans="1:11" x14ac:dyDescent="0.3">
      <c r="A84" s="2" t="s">
        <v>21</v>
      </c>
      <c r="B84" s="2" t="s">
        <v>14</v>
      </c>
      <c r="C84" s="2" t="s">
        <v>17</v>
      </c>
      <c r="D84" s="2">
        <v>73</v>
      </c>
      <c r="E84" s="2">
        <v>8468</v>
      </c>
      <c r="F84" s="3">
        <v>7793</v>
      </c>
      <c r="G84" s="3">
        <v>65991124</v>
      </c>
      <c r="H84" s="3">
        <v>56253070</v>
      </c>
      <c r="I84" s="3">
        <v>9738054</v>
      </c>
      <c r="J84" s="2">
        <v>64</v>
      </c>
      <c r="K84" s="2">
        <v>9</v>
      </c>
    </row>
    <row r="85" spans="1:11" x14ac:dyDescent="0.3">
      <c r="A85" s="2" t="s">
        <v>21</v>
      </c>
      <c r="B85" s="2" t="s">
        <v>15</v>
      </c>
      <c r="C85" s="2" t="s">
        <v>13</v>
      </c>
      <c r="D85" s="2">
        <v>116</v>
      </c>
      <c r="E85" s="2">
        <v>13920</v>
      </c>
      <c r="F85" s="3">
        <v>8257</v>
      </c>
      <c r="G85" s="3">
        <v>114937440</v>
      </c>
      <c r="H85" s="3">
        <v>95708468</v>
      </c>
      <c r="I85" s="3">
        <v>19228972</v>
      </c>
      <c r="J85" s="2">
        <v>104</v>
      </c>
      <c r="K85" s="2">
        <v>12</v>
      </c>
    </row>
    <row r="86" spans="1:11" x14ac:dyDescent="0.3">
      <c r="A86" s="2" t="s">
        <v>21</v>
      </c>
      <c r="B86" s="2" t="s">
        <v>14</v>
      </c>
      <c r="C86" s="2" t="s">
        <v>17</v>
      </c>
      <c r="D86" s="2">
        <v>130</v>
      </c>
      <c r="E86" s="2">
        <v>17940</v>
      </c>
      <c r="F86" s="3">
        <v>6789</v>
      </c>
      <c r="G86" s="3">
        <v>121794660</v>
      </c>
      <c r="H86" s="3">
        <v>95874493</v>
      </c>
      <c r="I86" s="3">
        <v>25920167</v>
      </c>
      <c r="J86" s="2">
        <v>113</v>
      </c>
      <c r="K86" s="2">
        <v>17</v>
      </c>
    </row>
    <row r="87" spans="1:11" x14ac:dyDescent="0.3">
      <c r="A87" s="2" t="s">
        <v>21</v>
      </c>
      <c r="B87" s="2" t="s">
        <v>15</v>
      </c>
      <c r="C87" s="2" t="s">
        <v>17</v>
      </c>
      <c r="D87" s="2">
        <v>115</v>
      </c>
      <c r="E87" s="2">
        <v>15295</v>
      </c>
      <c r="F87" s="3">
        <v>8174</v>
      </c>
      <c r="G87" s="3">
        <v>125021330</v>
      </c>
      <c r="H87" s="3">
        <v>88596168</v>
      </c>
      <c r="I87" s="3">
        <v>36425162</v>
      </c>
      <c r="J87" s="2">
        <v>103</v>
      </c>
      <c r="K87" s="2">
        <v>12</v>
      </c>
    </row>
    <row r="88" spans="1:11" x14ac:dyDescent="0.3">
      <c r="A88" s="2" t="s">
        <v>21</v>
      </c>
      <c r="B88" s="2" t="s">
        <v>15</v>
      </c>
      <c r="C88" s="2" t="s">
        <v>18</v>
      </c>
      <c r="D88" s="2">
        <v>141</v>
      </c>
      <c r="E88" s="2">
        <v>16920</v>
      </c>
      <c r="F88" s="3">
        <v>7940</v>
      </c>
      <c r="G88" s="3">
        <v>134344800</v>
      </c>
      <c r="H88" s="3">
        <v>106774433</v>
      </c>
      <c r="I88" s="3">
        <v>27570367</v>
      </c>
      <c r="J88" s="2">
        <v>120</v>
      </c>
      <c r="K88" s="2">
        <v>21</v>
      </c>
    </row>
    <row r="89" spans="1:11" x14ac:dyDescent="0.3">
      <c r="A89" s="2" t="s">
        <v>21</v>
      </c>
      <c r="B89" s="2" t="s">
        <v>15</v>
      </c>
      <c r="C89" s="2" t="s">
        <v>16</v>
      </c>
      <c r="D89" s="2">
        <v>80</v>
      </c>
      <c r="E89" s="2">
        <v>10640</v>
      </c>
      <c r="F89" s="3">
        <v>4817</v>
      </c>
      <c r="G89" s="3">
        <v>51252880</v>
      </c>
      <c r="H89" s="3">
        <v>41434779</v>
      </c>
      <c r="I89" s="3">
        <v>9818101</v>
      </c>
      <c r="J89" s="2">
        <v>72</v>
      </c>
      <c r="K89" s="2">
        <v>8</v>
      </c>
    </row>
    <row r="90" spans="1:11" x14ac:dyDescent="0.3">
      <c r="A90" s="2" t="s">
        <v>21</v>
      </c>
      <c r="B90" s="2" t="s">
        <v>15</v>
      </c>
      <c r="C90" s="2" t="s">
        <v>18</v>
      </c>
      <c r="D90" s="2">
        <v>85</v>
      </c>
      <c r="E90" s="2">
        <v>11815</v>
      </c>
      <c r="F90" s="3">
        <v>4830</v>
      </c>
      <c r="G90" s="3">
        <v>57066450</v>
      </c>
      <c r="H90" s="3">
        <v>40226558</v>
      </c>
      <c r="I90" s="3">
        <v>16839892</v>
      </c>
      <c r="J90" s="2">
        <v>77</v>
      </c>
      <c r="K90" s="2">
        <v>8</v>
      </c>
    </row>
    <row r="91" spans="1:11" x14ac:dyDescent="0.3">
      <c r="A91" s="2" t="s">
        <v>21</v>
      </c>
      <c r="B91" s="2" t="s">
        <v>15</v>
      </c>
      <c r="C91" s="2" t="s">
        <v>16</v>
      </c>
      <c r="D91" s="2">
        <v>135</v>
      </c>
      <c r="E91" s="2">
        <v>15930</v>
      </c>
      <c r="F91" s="3">
        <v>4763</v>
      </c>
      <c r="G91" s="3">
        <v>75874590</v>
      </c>
      <c r="H91" s="3">
        <v>57260748</v>
      </c>
      <c r="I91" s="3">
        <v>18613842</v>
      </c>
      <c r="J91" s="2">
        <v>120</v>
      </c>
      <c r="K91" s="2">
        <v>15</v>
      </c>
    </row>
    <row r="92" spans="1:11" x14ac:dyDescent="0.3">
      <c r="A92" s="2" t="s">
        <v>21</v>
      </c>
      <c r="B92" s="2" t="s">
        <v>12</v>
      </c>
      <c r="C92" s="2" t="s">
        <v>17</v>
      </c>
      <c r="D92" s="2">
        <v>98</v>
      </c>
      <c r="E92" s="2">
        <v>10584</v>
      </c>
      <c r="F92" s="3">
        <v>5347</v>
      </c>
      <c r="G92" s="3">
        <v>56592648</v>
      </c>
      <c r="H92" s="3">
        <v>46967393</v>
      </c>
      <c r="I92" s="3">
        <v>9625255</v>
      </c>
      <c r="J92" s="2">
        <v>87</v>
      </c>
      <c r="K92" s="2">
        <v>11</v>
      </c>
    </row>
    <row r="93" spans="1:11" x14ac:dyDescent="0.3">
      <c r="A93" s="2" t="s">
        <v>21</v>
      </c>
      <c r="B93" s="2" t="s">
        <v>12</v>
      </c>
      <c r="C93" s="2" t="s">
        <v>13</v>
      </c>
      <c r="D93" s="2">
        <v>142</v>
      </c>
      <c r="E93" s="2">
        <v>20022</v>
      </c>
      <c r="F93" s="3">
        <v>6058</v>
      </c>
      <c r="G93" s="3">
        <v>121293276</v>
      </c>
      <c r="H93" s="3">
        <v>92893225</v>
      </c>
      <c r="I93" s="3">
        <v>28400051</v>
      </c>
      <c r="J93" s="2">
        <v>126</v>
      </c>
      <c r="K93" s="2">
        <v>16</v>
      </c>
    </row>
    <row r="94" spans="1:11" x14ac:dyDescent="0.3">
      <c r="A94" s="2" t="s">
        <v>21</v>
      </c>
      <c r="B94" s="2" t="s">
        <v>15</v>
      </c>
      <c r="C94" s="2" t="s">
        <v>17</v>
      </c>
      <c r="D94" s="2">
        <v>98</v>
      </c>
      <c r="E94" s="2">
        <v>13622</v>
      </c>
      <c r="F94" s="3">
        <v>7561</v>
      </c>
      <c r="G94" s="3">
        <v>102995942</v>
      </c>
      <c r="H94" s="3">
        <v>83656819</v>
      </c>
      <c r="I94" s="3">
        <v>19339123</v>
      </c>
      <c r="J94" s="2">
        <v>84</v>
      </c>
      <c r="K94" s="2">
        <v>14</v>
      </c>
    </row>
    <row r="95" spans="1:11" x14ac:dyDescent="0.3">
      <c r="A95" s="2" t="s">
        <v>21</v>
      </c>
      <c r="B95" s="2" t="s">
        <v>14</v>
      </c>
      <c r="C95" s="2" t="s">
        <v>17</v>
      </c>
      <c r="D95" s="2">
        <v>73</v>
      </c>
      <c r="E95" s="2">
        <v>8906</v>
      </c>
      <c r="F95" s="3">
        <v>6285</v>
      </c>
      <c r="G95" s="3">
        <v>55974210</v>
      </c>
      <c r="H95" s="3">
        <v>42955479</v>
      </c>
      <c r="I95" s="3">
        <v>13018731</v>
      </c>
      <c r="J95" s="2">
        <v>65</v>
      </c>
      <c r="K95" s="2">
        <v>8</v>
      </c>
    </row>
    <row r="96" spans="1:11" x14ac:dyDescent="0.3">
      <c r="A96" s="2" t="s">
        <v>21</v>
      </c>
      <c r="B96" s="2" t="s">
        <v>15</v>
      </c>
      <c r="C96" s="2" t="s">
        <v>17</v>
      </c>
      <c r="D96" s="2">
        <v>137</v>
      </c>
      <c r="E96" s="2">
        <v>15755</v>
      </c>
      <c r="F96" s="3">
        <v>7942</v>
      </c>
      <c r="G96" s="3">
        <v>125126210</v>
      </c>
      <c r="H96" s="3">
        <v>95612719</v>
      </c>
      <c r="I96" s="3">
        <v>29513491</v>
      </c>
      <c r="J96" s="2">
        <v>128</v>
      </c>
      <c r="K96" s="2">
        <v>9</v>
      </c>
    </row>
    <row r="97" spans="1:11" x14ac:dyDescent="0.3">
      <c r="A97" s="2" t="s">
        <v>21</v>
      </c>
      <c r="B97" s="2" t="s">
        <v>12</v>
      </c>
      <c r="C97" s="2" t="s">
        <v>13</v>
      </c>
      <c r="D97" s="2">
        <v>95</v>
      </c>
      <c r="E97" s="2">
        <v>13490</v>
      </c>
      <c r="F97" s="3">
        <v>6811</v>
      </c>
      <c r="G97" s="3">
        <v>91880390</v>
      </c>
      <c r="H97" s="3">
        <v>73443666</v>
      </c>
      <c r="I97" s="3">
        <v>18436724</v>
      </c>
      <c r="J97" s="2">
        <v>89</v>
      </c>
      <c r="K97" s="2">
        <v>6</v>
      </c>
    </row>
    <row r="98" spans="1:11" x14ac:dyDescent="0.3">
      <c r="A98" s="2" t="s">
        <v>21</v>
      </c>
      <c r="B98" s="2" t="s">
        <v>12</v>
      </c>
      <c r="C98" s="2" t="s">
        <v>17</v>
      </c>
      <c r="D98" s="2">
        <v>62</v>
      </c>
      <c r="E98" s="2">
        <v>8308</v>
      </c>
      <c r="F98" s="3">
        <v>5244</v>
      </c>
      <c r="G98" s="3">
        <v>43567152</v>
      </c>
      <c r="H98" s="3">
        <v>30019999</v>
      </c>
      <c r="I98" s="3">
        <v>13547153</v>
      </c>
      <c r="J98" s="2">
        <v>54</v>
      </c>
      <c r="K98" s="2">
        <v>8</v>
      </c>
    </row>
    <row r="99" spans="1:11" x14ac:dyDescent="0.3">
      <c r="A99" s="2" t="s">
        <v>21</v>
      </c>
      <c r="B99" s="2" t="s">
        <v>15</v>
      </c>
      <c r="C99" s="2" t="s">
        <v>16</v>
      </c>
      <c r="D99" s="2">
        <v>103</v>
      </c>
      <c r="E99" s="2">
        <v>12875</v>
      </c>
      <c r="F99" s="3">
        <v>5882</v>
      </c>
      <c r="G99" s="3">
        <v>75730750</v>
      </c>
      <c r="H99" s="3">
        <v>61873639</v>
      </c>
      <c r="I99" s="3">
        <v>13857111</v>
      </c>
      <c r="J99" s="2">
        <v>92</v>
      </c>
      <c r="K99" s="2">
        <v>11</v>
      </c>
    </row>
    <row r="100" spans="1:11" x14ac:dyDescent="0.3">
      <c r="A100" s="2" t="s">
        <v>21</v>
      </c>
      <c r="B100" s="2" t="s">
        <v>15</v>
      </c>
      <c r="C100" s="2" t="s">
        <v>17</v>
      </c>
      <c r="D100" s="2">
        <v>77</v>
      </c>
      <c r="E100" s="2">
        <v>8470</v>
      </c>
      <c r="F100" s="3">
        <v>6426</v>
      </c>
      <c r="G100" s="3">
        <v>54428220</v>
      </c>
      <c r="H100" s="3">
        <v>37201089</v>
      </c>
      <c r="I100" s="3">
        <v>17227131</v>
      </c>
      <c r="J100" s="2">
        <v>68</v>
      </c>
      <c r="K100" s="2">
        <v>9</v>
      </c>
    </row>
    <row r="101" spans="1:11" x14ac:dyDescent="0.3">
      <c r="A101" s="2" t="s">
        <v>21</v>
      </c>
      <c r="B101" s="2" t="s">
        <v>14</v>
      </c>
      <c r="C101" s="2" t="s">
        <v>18</v>
      </c>
      <c r="D101" s="2">
        <v>73</v>
      </c>
      <c r="E101" s="2">
        <v>7957</v>
      </c>
      <c r="F101" s="3">
        <v>7699</v>
      </c>
      <c r="G101" s="3">
        <v>61260943</v>
      </c>
      <c r="H101" s="3">
        <v>52213400</v>
      </c>
      <c r="I101" s="3">
        <v>9047543</v>
      </c>
      <c r="J101" s="2">
        <v>68</v>
      </c>
      <c r="K101" s="2">
        <v>5</v>
      </c>
    </row>
  </sheetData>
  <autoFilter ref="A1:K1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B2BA-84E0-4C57-BF57-4BC56D824E51}">
  <dimension ref="A1:T101"/>
  <sheetViews>
    <sheetView topLeftCell="G1" zoomScale="80" workbookViewId="0">
      <selection activeCell="L21" sqref="L21"/>
    </sheetView>
  </sheetViews>
  <sheetFormatPr defaultRowHeight="14.4" x14ac:dyDescent="0.3"/>
  <cols>
    <col min="1" max="2" width="12.33203125" bestFit="1" customWidth="1"/>
    <col min="3" max="3" width="12.44140625" bestFit="1" customWidth="1"/>
    <col min="4" max="4" width="16.88671875" bestFit="1" customWidth="1"/>
    <col min="5" max="5" width="21" bestFit="1" customWidth="1"/>
    <col min="6" max="6" width="16.33203125" bestFit="1" customWidth="1"/>
    <col min="7" max="7" width="19" bestFit="1" customWidth="1"/>
    <col min="8" max="8" width="19.44140625" bestFit="1" customWidth="1"/>
    <col min="9" max="9" width="11.33203125" bestFit="1" customWidth="1"/>
    <col min="10" max="10" width="20.21875" bestFit="1" customWidth="1"/>
    <col min="11" max="11" width="19.88671875" bestFit="1" customWidth="1"/>
    <col min="13" max="13" width="16.6640625" bestFit="1" customWidth="1"/>
    <col min="14" max="14" width="13.33203125" bestFit="1" customWidth="1"/>
    <col min="15" max="15" width="22.109375" bestFit="1" customWidth="1"/>
    <col min="18" max="18" width="16.6640625" bestFit="1" customWidth="1"/>
    <col min="20" max="20" width="15.21875" bestFit="1" customWidth="1"/>
  </cols>
  <sheetData>
    <row r="1" spans="1:20" x14ac:dyDescent="0.3">
      <c r="A1" s="1" t="s">
        <v>0</v>
      </c>
      <c r="B1" s="1" t="s">
        <v>1</v>
      </c>
      <c r="C1" s="1" t="s">
        <v>2</v>
      </c>
      <c r="D1" s="1" t="s">
        <v>3</v>
      </c>
      <c r="E1" s="1" t="s">
        <v>4</v>
      </c>
      <c r="F1" s="1" t="s">
        <v>5</v>
      </c>
      <c r="G1" s="1" t="s">
        <v>6</v>
      </c>
      <c r="H1" s="1" t="s">
        <v>7</v>
      </c>
      <c r="I1" s="1" t="s">
        <v>8</v>
      </c>
      <c r="J1" s="1" t="s">
        <v>9</v>
      </c>
      <c r="K1" s="1" t="s">
        <v>10</v>
      </c>
    </row>
    <row r="2" spans="1:20" ht="15.6" x14ac:dyDescent="0.3">
      <c r="A2" s="2" t="s">
        <v>11</v>
      </c>
      <c r="B2" s="2" t="s">
        <v>12</v>
      </c>
      <c r="C2" s="2" t="s">
        <v>13</v>
      </c>
      <c r="D2" s="2">
        <v>48</v>
      </c>
      <c r="E2" s="2">
        <v>5856</v>
      </c>
      <c r="F2" s="3">
        <v>5503</v>
      </c>
      <c r="G2" s="3">
        <v>32225568</v>
      </c>
      <c r="H2" s="3">
        <v>23208142</v>
      </c>
      <c r="I2" s="3">
        <v>9017426</v>
      </c>
      <c r="J2" s="2">
        <v>43</v>
      </c>
      <c r="K2" s="2">
        <v>5</v>
      </c>
      <c r="N2" s="5" t="s">
        <v>26</v>
      </c>
    </row>
    <row r="3" spans="1:20" ht="15.6" x14ac:dyDescent="0.3">
      <c r="A3" s="2" t="s">
        <v>11</v>
      </c>
      <c r="B3" s="2" t="s">
        <v>12</v>
      </c>
      <c r="C3" s="2" t="s">
        <v>13</v>
      </c>
      <c r="D3" s="2">
        <v>120</v>
      </c>
      <c r="E3" s="2">
        <v>15840</v>
      </c>
      <c r="F3" s="3">
        <v>4630</v>
      </c>
      <c r="G3" s="3">
        <v>73339200</v>
      </c>
      <c r="H3" s="3">
        <v>50264010</v>
      </c>
      <c r="I3" s="3">
        <v>23075190</v>
      </c>
      <c r="J3" s="2">
        <v>112</v>
      </c>
      <c r="K3" s="2">
        <v>8</v>
      </c>
      <c r="M3" s="4" t="s">
        <v>1</v>
      </c>
      <c r="N3" s="4" t="s">
        <v>27</v>
      </c>
      <c r="O3" s="4" t="s">
        <v>28</v>
      </c>
      <c r="R3" s="4" t="s">
        <v>23</v>
      </c>
      <c r="T3" s="4" t="s">
        <v>6</v>
      </c>
    </row>
    <row r="4" spans="1:20" x14ac:dyDescent="0.3">
      <c r="A4" s="2" t="s">
        <v>11</v>
      </c>
      <c r="B4" s="2" t="s">
        <v>14</v>
      </c>
      <c r="C4" s="2" t="s">
        <v>13</v>
      </c>
      <c r="D4" s="2">
        <v>116</v>
      </c>
      <c r="E4" s="2">
        <v>13572</v>
      </c>
      <c r="F4" s="3">
        <v>7432</v>
      </c>
      <c r="G4" s="3">
        <v>100867104</v>
      </c>
      <c r="H4" s="3">
        <v>80388983</v>
      </c>
      <c r="I4" s="3">
        <v>20478121</v>
      </c>
      <c r="J4" s="2">
        <v>103</v>
      </c>
      <c r="K4" s="2">
        <v>13</v>
      </c>
      <c r="M4" s="2" t="s">
        <v>15</v>
      </c>
      <c r="N4" s="2">
        <f>SUMIF(B2:B101,"Air India",J2:J101)</f>
        <v>3079</v>
      </c>
      <c r="O4" s="2">
        <f>SUMIF(B2:B101,"air india",K2:K101)</f>
        <v>360</v>
      </c>
      <c r="R4" s="2">
        <f>COUNTA(_xlfn.UNIQUE(Calculations!B2:B101))</f>
        <v>3</v>
      </c>
      <c r="T4" s="3">
        <f>SUM(G2:G101)</f>
        <v>8006395958</v>
      </c>
    </row>
    <row r="5" spans="1:20" x14ac:dyDescent="0.3">
      <c r="A5" s="2" t="s">
        <v>11</v>
      </c>
      <c r="B5" s="2" t="s">
        <v>15</v>
      </c>
      <c r="C5" s="2" t="s">
        <v>16</v>
      </c>
      <c r="D5" s="2">
        <v>102</v>
      </c>
      <c r="E5" s="2">
        <v>14484</v>
      </c>
      <c r="F5" s="3">
        <v>5639</v>
      </c>
      <c r="G5" s="3">
        <v>81675276</v>
      </c>
      <c r="H5" s="3">
        <v>67439069</v>
      </c>
      <c r="I5" s="3">
        <v>14236207</v>
      </c>
      <c r="J5" s="2">
        <v>97</v>
      </c>
      <c r="K5" s="2">
        <v>5</v>
      </c>
      <c r="M5" s="2" t="s">
        <v>14</v>
      </c>
      <c r="N5" s="2">
        <f>SUMIF(B2:B101,"Indigo",J2:J101)</f>
        <v>2735</v>
      </c>
      <c r="O5" s="2">
        <f>SUMIF(B2:B101,"indigo",K2:K101)</f>
        <v>295</v>
      </c>
    </row>
    <row r="6" spans="1:20" ht="15.6" x14ac:dyDescent="0.3">
      <c r="A6" s="2" t="s">
        <v>11</v>
      </c>
      <c r="B6" s="2" t="s">
        <v>14</v>
      </c>
      <c r="C6" s="2" t="s">
        <v>17</v>
      </c>
      <c r="D6" s="2">
        <v>88</v>
      </c>
      <c r="E6" s="2">
        <v>10736</v>
      </c>
      <c r="F6" s="3">
        <v>5136</v>
      </c>
      <c r="G6" s="3">
        <v>55140096</v>
      </c>
      <c r="H6" s="3">
        <v>39632301</v>
      </c>
      <c r="I6" s="3">
        <v>15507795</v>
      </c>
      <c r="J6" s="2">
        <v>78</v>
      </c>
      <c r="K6" s="2">
        <v>10</v>
      </c>
      <c r="M6" s="2" t="s">
        <v>12</v>
      </c>
      <c r="N6" s="2">
        <f>SUMIF(B2:B101,"vistara",J2:J101)</f>
        <v>2925</v>
      </c>
      <c r="O6" s="2">
        <f>SUMIF(B2:B101,"vistara",K2:K101)</f>
        <v>323</v>
      </c>
      <c r="R6" s="4" t="s">
        <v>3</v>
      </c>
      <c r="T6" s="4" t="s">
        <v>24</v>
      </c>
    </row>
    <row r="7" spans="1:20" x14ac:dyDescent="0.3">
      <c r="A7" s="2" t="s">
        <v>11</v>
      </c>
      <c r="B7" s="2" t="s">
        <v>14</v>
      </c>
      <c r="C7" s="2" t="s">
        <v>13</v>
      </c>
      <c r="D7" s="2">
        <v>93</v>
      </c>
      <c r="E7" s="2">
        <v>10323</v>
      </c>
      <c r="F7" s="3">
        <v>5970</v>
      </c>
      <c r="G7" s="3">
        <v>61628310</v>
      </c>
      <c r="H7" s="3">
        <v>51308586</v>
      </c>
      <c r="I7" s="3">
        <v>10319724</v>
      </c>
      <c r="J7" s="2">
        <v>84</v>
      </c>
      <c r="K7" s="2">
        <v>9</v>
      </c>
      <c r="R7" s="2">
        <f>SUM(D1:D101)</f>
        <v>9717</v>
      </c>
      <c r="T7" s="3">
        <f>SUM(I2:I101)</f>
        <v>1810529564</v>
      </c>
    </row>
    <row r="8" spans="1:20" x14ac:dyDescent="0.3">
      <c r="A8" s="2" t="s">
        <v>11</v>
      </c>
      <c r="B8" s="2" t="s">
        <v>14</v>
      </c>
      <c r="C8" s="2" t="s">
        <v>17</v>
      </c>
      <c r="D8" s="2">
        <v>113</v>
      </c>
      <c r="E8" s="2">
        <v>12656</v>
      </c>
      <c r="F8" s="3">
        <v>8485</v>
      </c>
      <c r="G8" s="3">
        <v>107386160</v>
      </c>
      <c r="H8" s="3">
        <v>90850105</v>
      </c>
      <c r="I8" s="3">
        <v>16536055</v>
      </c>
      <c r="J8" s="2">
        <v>107</v>
      </c>
      <c r="K8" s="2">
        <v>6</v>
      </c>
    </row>
    <row r="9" spans="1:20" ht="15.6" x14ac:dyDescent="0.3">
      <c r="A9" s="2" t="s">
        <v>11</v>
      </c>
      <c r="B9" s="2" t="s">
        <v>12</v>
      </c>
      <c r="C9" s="2" t="s">
        <v>18</v>
      </c>
      <c r="D9" s="2">
        <v>125</v>
      </c>
      <c r="E9" s="2">
        <v>18000</v>
      </c>
      <c r="F9" s="3">
        <v>8126</v>
      </c>
      <c r="G9" s="3">
        <v>146268000</v>
      </c>
      <c r="H9" s="3">
        <v>122149466</v>
      </c>
      <c r="I9" s="3">
        <v>24118534</v>
      </c>
      <c r="J9" s="2">
        <v>111</v>
      </c>
      <c r="K9" s="2">
        <v>14</v>
      </c>
      <c r="N9" s="5" t="s">
        <v>29</v>
      </c>
      <c r="R9" s="4" t="s">
        <v>4</v>
      </c>
      <c r="T9" s="4" t="s">
        <v>10</v>
      </c>
    </row>
    <row r="10" spans="1:20" ht="15.6" x14ac:dyDescent="0.3">
      <c r="A10" s="2" t="s">
        <v>11</v>
      </c>
      <c r="B10" s="2" t="s">
        <v>14</v>
      </c>
      <c r="C10" s="2" t="s">
        <v>13</v>
      </c>
      <c r="D10" s="2">
        <v>50</v>
      </c>
      <c r="E10" s="2">
        <v>5950</v>
      </c>
      <c r="F10" s="3">
        <v>7666</v>
      </c>
      <c r="G10" s="3">
        <v>45612700</v>
      </c>
      <c r="H10" s="3">
        <v>33392593</v>
      </c>
      <c r="I10" s="3">
        <v>12220107</v>
      </c>
      <c r="J10" s="2">
        <v>45</v>
      </c>
      <c r="K10" s="2">
        <v>5</v>
      </c>
      <c r="M10" s="6" t="s">
        <v>22</v>
      </c>
      <c r="N10" s="6" t="s">
        <v>30</v>
      </c>
      <c r="O10" s="6" t="s">
        <v>8</v>
      </c>
      <c r="R10" s="2">
        <f>SUM(E2:E101)</f>
        <v>1207119</v>
      </c>
      <c r="T10" s="2">
        <f>SUM(K2:K101)</f>
        <v>978</v>
      </c>
    </row>
    <row r="11" spans="1:20" x14ac:dyDescent="0.3">
      <c r="A11" s="2" t="s">
        <v>11</v>
      </c>
      <c r="B11" s="2" t="s">
        <v>14</v>
      </c>
      <c r="C11" s="2" t="s">
        <v>13</v>
      </c>
      <c r="D11" s="2">
        <v>93</v>
      </c>
      <c r="E11" s="2">
        <v>11346</v>
      </c>
      <c r="F11" s="3">
        <v>6357</v>
      </c>
      <c r="G11" s="3">
        <v>72126522</v>
      </c>
      <c r="H11" s="3">
        <v>57298982</v>
      </c>
      <c r="I11" s="3">
        <v>14827540</v>
      </c>
      <c r="J11" s="2">
        <v>83</v>
      </c>
      <c r="K11" s="2">
        <v>10</v>
      </c>
      <c r="M11" s="2" t="s">
        <v>15</v>
      </c>
      <c r="N11" s="2">
        <f>SUMIF(B2:B101,"Air india",G2:G101)</f>
        <v>2850381558</v>
      </c>
      <c r="O11" s="2">
        <f>SUMIF(B2:B101,"Air India",I2:I101)</f>
        <v>662403081</v>
      </c>
    </row>
    <row r="12" spans="1:20" ht="15.6" x14ac:dyDescent="0.3">
      <c r="A12" s="2" t="s">
        <v>11</v>
      </c>
      <c r="B12" s="2" t="s">
        <v>14</v>
      </c>
      <c r="C12" s="2" t="s">
        <v>18</v>
      </c>
      <c r="D12" s="2">
        <v>90</v>
      </c>
      <c r="E12" s="2">
        <v>10620</v>
      </c>
      <c r="F12" s="3">
        <v>7245</v>
      </c>
      <c r="G12" s="3">
        <v>76941900</v>
      </c>
      <c r="H12" s="3">
        <v>56018012</v>
      </c>
      <c r="I12" s="3">
        <v>20923888</v>
      </c>
      <c r="J12" s="2">
        <v>84</v>
      </c>
      <c r="K12" s="2">
        <v>6</v>
      </c>
      <c r="M12" s="2" t="s">
        <v>14</v>
      </c>
      <c r="N12" s="2">
        <f>SUMIF(B2:B101,"IndiGo",G2:G101)</f>
        <v>2467271800</v>
      </c>
      <c r="O12" s="2">
        <f>SUMIF(B2:B101,"indigo",I2:I101)</f>
        <v>555482930</v>
      </c>
      <c r="R12" s="4" t="s">
        <v>25</v>
      </c>
    </row>
    <row r="13" spans="1:20" x14ac:dyDescent="0.3">
      <c r="A13" s="2" t="s">
        <v>11</v>
      </c>
      <c r="B13" s="2" t="s">
        <v>12</v>
      </c>
      <c r="C13" s="2" t="s">
        <v>16</v>
      </c>
      <c r="D13" s="2">
        <v>113</v>
      </c>
      <c r="E13" s="2">
        <v>13560</v>
      </c>
      <c r="F13" s="3">
        <v>5169</v>
      </c>
      <c r="G13" s="3">
        <v>70091640</v>
      </c>
      <c r="H13" s="3">
        <v>53494418</v>
      </c>
      <c r="I13" s="3">
        <v>16597222</v>
      </c>
      <c r="J13" s="2">
        <v>104</v>
      </c>
      <c r="K13" s="2">
        <v>9</v>
      </c>
      <c r="M13" s="2" t="s">
        <v>12</v>
      </c>
      <c r="N13" s="2">
        <f>SUMIF(B2:B101,"Vistara",G2:G101)</f>
        <v>2688742600</v>
      </c>
      <c r="O13" s="2">
        <f>SUMIF(B2:B101,"Vistara",I2:I101)</f>
        <v>592643553</v>
      </c>
      <c r="R13" s="2">
        <f>SUM(J2:J101)</f>
        <v>8739</v>
      </c>
    </row>
    <row r="14" spans="1:20" x14ac:dyDescent="0.3">
      <c r="A14" s="2" t="s">
        <v>11</v>
      </c>
      <c r="B14" s="2" t="s">
        <v>12</v>
      </c>
      <c r="C14" s="2" t="s">
        <v>16</v>
      </c>
      <c r="D14" s="2">
        <v>132</v>
      </c>
      <c r="E14" s="2">
        <v>16500</v>
      </c>
      <c r="F14" s="3">
        <v>7952</v>
      </c>
      <c r="G14" s="3">
        <v>131208000</v>
      </c>
      <c r="H14" s="3">
        <v>107367039</v>
      </c>
      <c r="I14" s="3">
        <v>23840961</v>
      </c>
      <c r="J14" s="2">
        <v>127</v>
      </c>
      <c r="K14" s="2">
        <v>5</v>
      </c>
    </row>
    <row r="15" spans="1:20" x14ac:dyDescent="0.3">
      <c r="A15" s="2" t="s">
        <v>11</v>
      </c>
      <c r="B15" s="2" t="s">
        <v>14</v>
      </c>
      <c r="C15" s="2" t="s">
        <v>13</v>
      </c>
      <c r="D15" s="2">
        <v>148</v>
      </c>
      <c r="E15" s="2">
        <v>18500</v>
      </c>
      <c r="F15" s="3">
        <v>6143</v>
      </c>
      <c r="G15" s="3">
        <v>113645500</v>
      </c>
      <c r="H15" s="3">
        <v>82755898</v>
      </c>
      <c r="I15" s="3">
        <v>30889602</v>
      </c>
      <c r="J15" s="2">
        <v>137</v>
      </c>
      <c r="K15" s="2">
        <v>11</v>
      </c>
    </row>
    <row r="16" spans="1:20" x14ac:dyDescent="0.3">
      <c r="A16" s="2" t="s">
        <v>11</v>
      </c>
      <c r="B16" s="2" t="s">
        <v>12</v>
      </c>
      <c r="C16" s="2" t="s">
        <v>18</v>
      </c>
      <c r="D16" s="2">
        <v>72</v>
      </c>
      <c r="E16" s="2">
        <v>9792</v>
      </c>
      <c r="F16" s="3">
        <v>6120</v>
      </c>
      <c r="G16" s="3">
        <v>59927040</v>
      </c>
      <c r="H16" s="3">
        <v>50293346</v>
      </c>
      <c r="I16" s="3">
        <v>9633694</v>
      </c>
      <c r="J16" s="2">
        <v>62</v>
      </c>
      <c r="K16" s="2">
        <v>10</v>
      </c>
    </row>
    <row r="17" spans="1:11" x14ac:dyDescent="0.3">
      <c r="A17" s="2" t="s">
        <v>11</v>
      </c>
      <c r="B17" s="2" t="s">
        <v>15</v>
      </c>
      <c r="C17" s="2" t="s">
        <v>16</v>
      </c>
      <c r="D17" s="2">
        <v>78</v>
      </c>
      <c r="E17" s="2">
        <v>8814</v>
      </c>
      <c r="F17" s="3">
        <v>5510</v>
      </c>
      <c r="G17" s="3">
        <v>48565140</v>
      </c>
      <c r="H17" s="3">
        <v>39536784</v>
      </c>
      <c r="I17" s="3">
        <v>9028356</v>
      </c>
      <c r="J17" s="2">
        <v>69</v>
      </c>
      <c r="K17" s="2">
        <v>9</v>
      </c>
    </row>
    <row r="18" spans="1:11" x14ac:dyDescent="0.3">
      <c r="A18" s="2" t="s">
        <v>11</v>
      </c>
      <c r="B18" s="2" t="s">
        <v>15</v>
      </c>
      <c r="C18" s="2" t="s">
        <v>17</v>
      </c>
      <c r="D18" s="2">
        <v>119</v>
      </c>
      <c r="E18" s="2">
        <v>15470</v>
      </c>
      <c r="F18" s="3">
        <v>5982</v>
      </c>
      <c r="G18" s="3">
        <v>92541540</v>
      </c>
      <c r="H18" s="3">
        <v>66581577</v>
      </c>
      <c r="I18" s="3">
        <v>25959963</v>
      </c>
      <c r="J18" s="2">
        <v>112</v>
      </c>
      <c r="K18" s="2">
        <v>7</v>
      </c>
    </row>
    <row r="19" spans="1:11" x14ac:dyDescent="0.3">
      <c r="A19" s="2" t="s">
        <v>11</v>
      </c>
      <c r="B19" s="2" t="s">
        <v>12</v>
      </c>
      <c r="C19" s="2" t="s">
        <v>17</v>
      </c>
      <c r="D19" s="2">
        <v>56</v>
      </c>
      <c r="E19" s="2">
        <v>6048</v>
      </c>
      <c r="F19" s="3">
        <v>8027</v>
      </c>
      <c r="G19" s="3">
        <v>48547296</v>
      </c>
      <c r="H19" s="3">
        <v>33970331</v>
      </c>
      <c r="I19" s="3">
        <v>14576965</v>
      </c>
      <c r="J19" s="2">
        <v>50</v>
      </c>
      <c r="K19" s="2">
        <v>6</v>
      </c>
    </row>
    <row r="20" spans="1:11" x14ac:dyDescent="0.3">
      <c r="A20" s="2" t="s">
        <v>11</v>
      </c>
      <c r="B20" s="2" t="s">
        <v>12</v>
      </c>
      <c r="C20" s="2" t="s">
        <v>17</v>
      </c>
      <c r="D20" s="2">
        <v>121</v>
      </c>
      <c r="E20" s="2">
        <v>13189</v>
      </c>
      <c r="F20" s="3">
        <v>6076</v>
      </c>
      <c r="G20" s="3">
        <v>80136364</v>
      </c>
      <c r="H20" s="3">
        <v>59997412</v>
      </c>
      <c r="I20" s="3">
        <v>20138952</v>
      </c>
      <c r="J20" s="2">
        <v>109</v>
      </c>
      <c r="K20" s="2">
        <v>12</v>
      </c>
    </row>
    <row r="21" spans="1:11" x14ac:dyDescent="0.3">
      <c r="A21" s="2" t="s">
        <v>11</v>
      </c>
      <c r="B21" s="2" t="s">
        <v>12</v>
      </c>
      <c r="C21" s="2" t="s">
        <v>18</v>
      </c>
      <c r="D21" s="2">
        <v>115</v>
      </c>
      <c r="E21" s="2">
        <v>12075</v>
      </c>
      <c r="F21" s="3">
        <v>7286</v>
      </c>
      <c r="G21" s="3">
        <v>87978450</v>
      </c>
      <c r="H21" s="3">
        <v>71238783</v>
      </c>
      <c r="I21" s="3">
        <v>16739667</v>
      </c>
      <c r="J21" s="2">
        <v>100</v>
      </c>
      <c r="K21" s="2">
        <v>15</v>
      </c>
    </row>
    <row r="22" spans="1:11" x14ac:dyDescent="0.3">
      <c r="A22" s="2" t="s">
        <v>11</v>
      </c>
      <c r="B22" s="2" t="s">
        <v>12</v>
      </c>
      <c r="C22" s="2" t="s">
        <v>18</v>
      </c>
      <c r="D22" s="2">
        <v>143</v>
      </c>
      <c r="E22" s="2">
        <v>18018</v>
      </c>
      <c r="F22" s="3">
        <v>4956</v>
      </c>
      <c r="G22" s="3">
        <v>89297208</v>
      </c>
      <c r="H22" s="3">
        <v>65439675</v>
      </c>
      <c r="I22" s="3">
        <v>23857533</v>
      </c>
      <c r="J22" s="2">
        <v>133</v>
      </c>
      <c r="K22" s="2">
        <v>10</v>
      </c>
    </row>
    <row r="23" spans="1:11" x14ac:dyDescent="0.3">
      <c r="A23" s="2" t="s">
        <v>11</v>
      </c>
      <c r="B23" s="2" t="s">
        <v>15</v>
      </c>
      <c r="C23" s="2" t="s">
        <v>13</v>
      </c>
      <c r="D23" s="2">
        <v>137</v>
      </c>
      <c r="E23" s="2">
        <v>16577</v>
      </c>
      <c r="F23" s="3">
        <v>8480</v>
      </c>
      <c r="G23" s="3">
        <v>140572960</v>
      </c>
      <c r="H23" s="3">
        <v>108256009</v>
      </c>
      <c r="I23" s="3">
        <v>32316951</v>
      </c>
      <c r="J23" s="2">
        <v>127</v>
      </c>
      <c r="K23" s="2">
        <v>10</v>
      </c>
    </row>
    <row r="24" spans="1:11" x14ac:dyDescent="0.3">
      <c r="A24" s="2" t="s">
        <v>11</v>
      </c>
      <c r="B24" s="2" t="s">
        <v>12</v>
      </c>
      <c r="C24" s="2" t="s">
        <v>13</v>
      </c>
      <c r="D24" s="2">
        <v>125</v>
      </c>
      <c r="E24" s="2">
        <v>15500</v>
      </c>
      <c r="F24" s="3">
        <v>7947</v>
      </c>
      <c r="G24" s="3">
        <v>123178500</v>
      </c>
      <c r="H24" s="3">
        <v>97928251</v>
      </c>
      <c r="I24" s="3">
        <v>25250249</v>
      </c>
      <c r="J24" s="2">
        <v>111</v>
      </c>
      <c r="K24" s="2">
        <v>14</v>
      </c>
    </row>
    <row r="25" spans="1:11" x14ac:dyDescent="0.3">
      <c r="A25" s="2" t="s">
        <v>11</v>
      </c>
      <c r="B25" s="2" t="s">
        <v>14</v>
      </c>
      <c r="C25" s="2" t="s">
        <v>16</v>
      </c>
      <c r="D25" s="2">
        <v>92</v>
      </c>
      <c r="E25" s="2">
        <v>10580</v>
      </c>
      <c r="F25" s="3">
        <v>6709</v>
      </c>
      <c r="G25" s="3">
        <v>70981220</v>
      </c>
      <c r="H25" s="3">
        <v>60449733</v>
      </c>
      <c r="I25" s="3">
        <v>10531487</v>
      </c>
      <c r="J25" s="2">
        <v>79</v>
      </c>
      <c r="K25" s="2">
        <v>13</v>
      </c>
    </row>
    <row r="26" spans="1:11" x14ac:dyDescent="0.3">
      <c r="A26" s="2" t="s">
        <v>11</v>
      </c>
      <c r="B26" s="2" t="s">
        <v>14</v>
      </c>
      <c r="C26" s="2" t="s">
        <v>18</v>
      </c>
      <c r="D26" s="2">
        <v>107</v>
      </c>
      <c r="E26" s="2">
        <v>11342</v>
      </c>
      <c r="F26" s="3">
        <v>4958</v>
      </c>
      <c r="G26" s="3">
        <v>56233636</v>
      </c>
      <c r="H26" s="3">
        <v>47643259</v>
      </c>
      <c r="I26" s="3">
        <v>8590377</v>
      </c>
      <c r="J26" s="2">
        <v>98</v>
      </c>
      <c r="K26" s="2">
        <v>9</v>
      </c>
    </row>
    <row r="27" spans="1:11" x14ac:dyDescent="0.3">
      <c r="A27" s="2" t="s">
        <v>19</v>
      </c>
      <c r="B27" s="2" t="s">
        <v>14</v>
      </c>
      <c r="C27" s="2" t="s">
        <v>13</v>
      </c>
      <c r="D27" s="2">
        <v>75</v>
      </c>
      <c r="E27" s="2">
        <v>10575</v>
      </c>
      <c r="F27" s="3">
        <v>8378</v>
      </c>
      <c r="G27" s="3">
        <v>88597350</v>
      </c>
      <c r="H27" s="3">
        <v>61502177</v>
      </c>
      <c r="I27" s="3">
        <v>27095173</v>
      </c>
      <c r="J27" s="2">
        <v>65</v>
      </c>
      <c r="K27" s="2">
        <v>10</v>
      </c>
    </row>
    <row r="28" spans="1:11" x14ac:dyDescent="0.3">
      <c r="A28" s="2" t="s">
        <v>19</v>
      </c>
      <c r="B28" s="2" t="s">
        <v>15</v>
      </c>
      <c r="C28" s="2" t="s">
        <v>13</v>
      </c>
      <c r="D28" s="2">
        <v>142</v>
      </c>
      <c r="E28" s="2">
        <v>19738</v>
      </c>
      <c r="F28" s="3">
        <v>7636</v>
      </c>
      <c r="G28" s="3">
        <v>150719368</v>
      </c>
      <c r="H28" s="3">
        <v>105900988</v>
      </c>
      <c r="I28" s="3">
        <v>44818380</v>
      </c>
      <c r="J28" s="2">
        <v>122</v>
      </c>
      <c r="K28" s="2">
        <v>20</v>
      </c>
    </row>
    <row r="29" spans="1:11" x14ac:dyDescent="0.3">
      <c r="A29" s="2" t="s">
        <v>19</v>
      </c>
      <c r="B29" s="2" t="s">
        <v>12</v>
      </c>
      <c r="C29" s="2" t="s">
        <v>16</v>
      </c>
      <c r="D29" s="2">
        <v>78</v>
      </c>
      <c r="E29" s="2">
        <v>10764</v>
      </c>
      <c r="F29" s="3">
        <v>8073</v>
      </c>
      <c r="G29" s="3">
        <v>86897772</v>
      </c>
      <c r="H29" s="3">
        <v>68578583</v>
      </c>
      <c r="I29" s="3">
        <v>18319189</v>
      </c>
      <c r="J29" s="2">
        <v>72</v>
      </c>
      <c r="K29" s="2">
        <v>6</v>
      </c>
    </row>
    <row r="30" spans="1:11" x14ac:dyDescent="0.3">
      <c r="A30" s="2" t="s">
        <v>19</v>
      </c>
      <c r="B30" s="2" t="s">
        <v>12</v>
      </c>
      <c r="C30" s="2" t="s">
        <v>16</v>
      </c>
      <c r="D30" s="2">
        <v>136</v>
      </c>
      <c r="E30" s="2">
        <v>16864</v>
      </c>
      <c r="F30" s="3">
        <v>6134</v>
      </c>
      <c r="G30" s="3">
        <v>103443776</v>
      </c>
      <c r="H30" s="3">
        <v>88871328</v>
      </c>
      <c r="I30" s="3">
        <v>14572448</v>
      </c>
      <c r="J30" s="2">
        <v>120</v>
      </c>
      <c r="K30" s="2">
        <v>16</v>
      </c>
    </row>
    <row r="31" spans="1:11" x14ac:dyDescent="0.3">
      <c r="A31" s="2" t="s">
        <v>19</v>
      </c>
      <c r="B31" s="2" t="s">
        <v>15</v>
      </c>
      <c r="C31" s="2" t="s">
        <v>17</v>
      </c>
      <c r="D31" s="2">
        <v>60</v>
      </c>
      <c r="E31" s="2">
        <v>7200</v>
      </c>
      <c r="F31" s="3">
        <v>5420</v>
      </c>
      <c r="G31" s="3">
        <v>39024000</v>
      </c>
      <c r="H31" s="3">
        <v>26986058</v>
      </c>
      <c r="I31" s="3">
        <v>12037942</v>
      </c>
      <c r="J31" s="2">
        <v>55</v>
      </c>
      <c r="K31" s="2">
        <v>5</v>
      </c>
    </row>
    <row r="32" spans="1:11" x14ac:dyDescent="0.3">
      <c r="A32" s="2" t="s">
        <v>19</v>
      </c>
      <c r="B32" s="2" t="s">
        <v>12</v>
      </c>
      <c r="C32" s="2" t="s">
        <v>16</v>
      </c>
      <c r="D32" s="2">
        <v>120</v>
      </c>
      <c r="E32" s="2">
        <v>14280</v>
      </c>
      <c r="F32" s="3">
        <v>4529</v>
      </c>
      <c r="G32" s="3">
        <v>64674120</v>
      </c>
      <c r="H32" s="3">
        <v>44804856</v>
      </c>
      <c r="I32" s="3">
        <v>19869264</v>
      </c>
      <c r="J32" s="2">
        <v>105</v>
      </c>
      <c r="K32" s="2">
        <v>15</v>
      </c>
    </row>
    <row r="33" spans="1:11" x14ac:dyDescent="0.3">
      <c r="A33" s="2" t="s">
        <v>19</v>
      </c>
      <c r="B33" s="2" t="s">
        <v>14</v>
      </c>
      <c r="C33" s="2" t="s">
        <v>16</v>
      </c>
      <c r="D33" s="2">
        <v>53</v>
      </c>
      <c r="E33" s="2">
        <v>5671</v>
      </c>
      <c r="F33" s="3">
        <v>8021</v>
      </c>
      <c r="G33" s="3">
        <v>45487091</v>
      </c>
      <c r="H33" s="3">
        <v>33636663</v>
      </c>
      <c r="I33" s="3">
        <v>11850428</v>
      </c>
      <c r="J33" s="2">
        <v>47</v>
      </c>
      <c r="K33" s="2">
        <v>6</v>
      </c>
    </row>
    <row r="34" spans="1:11" x14ac:dyDescent="0.3">
      <c r="A34" s="2" t="s">
        <v>19</v>
      </c>
      <c r="B34" s="2" t="s">
        <v>15</v>
      </c>
      <c r="C34" s="2" t="s">
        <v>17</v>
      </c>
      <c r="D34" s="2">
        <v>72</v>
      </c>
      <c r="E34" s="2">
        <v>10008</v>
      </c>
      <c r="F34" s="3">
        <v>5041</v>
      </c>
      <c r="G34" s="3">
        <v>50450328</v>
      </c>
      <c r="H34" s="3">
        <v>40875030</v>
      </c>
      <c r="I34" s="3">
        <v>9575298</v>
      </c>
      <c r="J34" s="2">
        <v>63</v>
      </c>
      <c r="K34" s="2">
        <v>9</v>
      </c>
    </row>
    <row r="35" spans="1:11" x14ac:dyDescent="0.3">
      <c r="A35" s="2" t="s">
        <v>19</v>
      </c>
      <c r="B35" s="2" t="s">
        <v>12</v>
      </c>
      <c r="C35" s="2" t="s">
        <v>17</v>
      </c>
      <c r="D35" s="2">
        <v>76</v>
      </c>
      <c r="E35" s="2">
        <v>10260</v>
      </c>
      <c r="F35" s="3">
        <v>7807</v>
      </c>
      <c r="G35" s="3">
        <v>80099820</v>
      </c>
      <c r="H35" s="3">
        <v>60336854</v>
      </c>
      <c r="I35" s="3">
        <v>19762966</v>
      </c>
      <c r="J35" s="2">
        <v>71</v>
      </c>
      <c r="K35" s="2">
        <v>5</v>
      </c>
    </row>
    <row r="36" spans="1:11" x14ac:dyDescent="0.3">
      <c r="A36" s="2" t="s">
        <v>19</v>
      </c>
      <c r="B36" s="2" t="s">
        <v>14</v>
      </c>
      <c r="C36" s="2" t="s">
        <v>17</v>
      </c>
      <c r="D36" s="2">
        <v>90</v>
      </c>
      <c r="E36" s="2">
        <v>11880</v>
      </c>
      <c r="F36" s="3">
        <v>6183</v>
      </c>
      <c r="G36" s="3">
        <v>73454040</v>
      </c>
      <c r="H36" s="3">
        <v>56123619</v>
      </c>
      <c r="I36" s="3">
        <v>17330421</v>
      </c>
      <c r="J36" s="2">
        <v>85</v>
      </c>
      <c r="K36" s="2">
        <v>5</v>
      </c>
    </row>
    <row r="37" spans="1:11" x14ac:dyDescent="0.3">
      <c r="A37" s="2" t="s">
        <v>19</v>
      </c>
      <c r="B37" s="2" t="s">
        <v>12</v>
      </c>
      <c r="C37" s="2" t="s">
        <v>13</v>
      </c>
      <c r="D37" s="2">
        <v>52</v>
      </c>
      <c r="E37" s="2">
        <v>6760</v>
      </c>
      <c r="F37" s="3">
        <v>7482</v>
      </c>
      <c r="G37" s="3">
        <v>50578320</v>
      </c>
      <c r="H37" s="3">
        <v>37482301</v>
      </c>
      <c r="I37" s="3">
        <v>13096019</v>
      </c>
      <c r="J37" s="2">
        <v>47</v>
      </c>
      <c r="K37" s="2">
        <v>5</v>
      </c>
    </row>
    <row r="38" spans="1:11" x14ac:dyDescent="0.3">
      <c r="A38" s="2" t="s">
        <v>19</v>
      </c>
      <c r="B38" s="2" t="s">
        <v>14</v>
      </c>
      <c r="C38" s="2" t="s">
        <v>16</v>
      </c>
      <c r="D38" s="2">
        <v>69</v>
      </c>
      <c r="E38" s="2">
        <v>9591</v>
      </c>
      <c r="F38" s="3">
        <v>6337</v>
      </c>
      <c r="G38" s="3">
        <v>60778167</v>
      </c>
      <c r="H38" s="3">
        <v>42862757</v>
      </c>
      <c r="I38" s="3">
        <v>17915410</v>
      </c>
      <c r="J38" s="2">
        <v>63</v>
      </c>
      <c r="K38" s="2">
        <v>6</v>
      </c>
    </row>
    <row r="39" spans="1:11" x14ac:dyDescent="0.3">
      <c r="A39" s="2" t="s">
        <v>19</v>
      </c>
      <c r="B39" s="2" t="s">
        <v>15</v>
      </c>
      <c r="C39" s="2" t="s">
        <v>17</v>
      </c>
      <c r="D39" s="2">
        <v>76</v>
      </c>
      <c r="E39" s="2">
        <v>8284</v>
      </c>
      <c r="F39" s="3">
        <v>6315</v>
      </c>
      <c r="G39" s="3">
        <v>52313460</v>
      </c>
      <c r="H39" s="3">
        <v>43181831</v>
      </c>
      <c r="I39" s="3">
        <v>9131629</v>
      </c>
      <c r="J39" s="2">
        <v>65</v>
      </c>
      <c r="K39" s="2">
        <v>11</v>
      </c>
    </row>
    <row r="40" spans="1:11" x14ac:dyDescent="0.3">
      <c r="A40" s="2" t="s">
        <v>19</v>
      </c>
      <c r="B40" s="2" t="s">
        <v>12</v>
      </c>
      <c r="C40" s="2" t="s">
        <v>13</v>
      </c>
      <c r="D40" s="2">
        <v>51</v>
      </c>
      <c r="E40" s="2">
        <v>7089</v>
      </c>
      <c r="F40" s="3">
        <v>7924</v>
      </c>
      <c r="G40" s="3">
        <v>56173236</v>
      </c>
      <c r="H40" s="3">
        <v>38347019</v>
      </c>
      <c r="I40" s="3">
        <v>17826217</v>
      </c>
      <c r="J40" s="2">
        <v>46</v>
      </c>
      <c r="K40" s="2">
        <v>5</v>
      </c>
    </row>
    <row r="41" spans="1:11" x14ac:dyDescent="0.3">
      <c r="A41" s="2" t="s">
        <v>19</v>
      </c>
      <c r="B41" s="2" t="s">
        <v>14</v>
      </c>
      <c r="C41" s="2" t="s">
        <v>16</v>
      </c>
      <c r="D41" s="2">
        <v>97</v>
      </c>
      <c r="E41" s="2">
        <v>13192</v>
      </c>
      <c r="F41" s="3">
        <v>6471</v>
      </c>
      <c r="G41" s="3">
        <v>85365432</v>
      </c>
      <c r="H41" s="3">
        <v>61332887</v>
      </c>
      <c r="I41" s="3">
        <v>24032545</v>
      </c>
      <c r="J41" s="2">
        <v>86</v>
      </c>
      <c r="K41" s="2">
        <v>11</v>
      </c>
    </row>
    <row r="42" spans="1:11" x14ac:dyDescent="0.3">
      <c r="A42" s="2" t="s">
        <v>19</v>
      </c>
      <c r="B42" s="2" t="s">
        <v>14</v>
      </c>
      <c r="C42" s="2" t="s">
        <v>16</v>
      </c>
      <c r="D42" s="2">
        <v>93</v>
      </c>
      <c r="E42" s="2">
        <v>9765</v>
      </c>
      <c r="F42" s="3">
        <v>6099</v>
      </c>
      <c r="G42" s="3">
        <v>59556735</v>
      </c>
      <c r="H42" s="3">
        <v>43341612</v>
      </c>
      <c r="I42" s="3">
        <v>16215123</v>
      </c>
      <c r="J42" s="2">
        <v>81</v>
      </c>
      <c r="K42" s="2">
        <v>12</v>
      </c>
    </row>
    <row r="43" spans="1:11" x14ac:dyDescent="0.3">
      <c r="A43" s="2" t="s">
        <v>19</v>
      </c>
      <c r="B43" s="2" t="s">
        <v>15</v>
      </c>
      <c r="C43" s="2" t="s">
        <v>17</v>
      </c>
      <c r="D43" s="2">
        <v>134</v>
      </c>
      <c r="E43" s="2">
        <v>18760</v>
      </c>
      <c r="F43" s="3">
        <v>7211</v>
      </c>
      <c r="G43" s="3">
        <v>135278360</v>
      </c>
      <c r="H43" s="3">
        <v>109482601</v>
      </c>
      <c r="I43" s="3">
        <v>25795759</v>
      </c>
      <c r="J43" s="2">
        <v>125</v>
      </c>
      <c r="K43" s="2">
        <v>9</v>
      </c>
    </row>
    <row r="44" spans="1:11" x14ac:dyDescent="0.3">
      <c r="A44" s="2" t="s">
        <v>19</v>
      </c>
      <c r="B44" s="2" t="s">
        <v>14</v>
      </c>
      <c r="C44" s="2" t="s">
        <v>18</v>
      </c>
      <c r="D44" s="2">
        <v>72</v>
      </c>
      <c r="E44" s="2">
        <v>7776</v>
      </c>
      <c r="F44" s="3">
        <v>6872</v>
      </c>
      <c r="G44" s="3">
        <v>53436672</v>
      </c>
      <c r="H44" s="3">
        <v>43413699</v>
      </c>
      <c r="I44" s="3">
        <v>10022973</v>
      </c>
      <c r="J44" s="2">
        <v>67</v>
      </c>
      <c r="K44" s="2">
        <v>5</v>
      </c>
    </row>
    <row r="45" spans="1:11" x14ac:dyDescent="0.3">
      <c r="A45" s="2" t="s">
        <v>19</v>
      </c>
      <c r="B45" s="2" t="s">
        <v>12</v>
      </c>
      <c r="C45" s="2" t="s">
        <v>18</v>
      </c>
      <c r="D45" s="2">
        <v>52</v>
      </c>
      <c r="E45" s="2">
        <v>5616</v>
      </c>
      <c r="F45" s="3">
        <v>6892</v>
      </c>
      <c r="G45" s="3">
        <v>38705472</v>
      </c>
      <c r="H45" s="3">
        <v>29641499</v>
      </c>
      <c r="I45" s="3">
        <v>9063973</v>
      </c>
      <c r="J45" s="2">
        <v>46</v>
      </c>
      <c r="K45" s="2">
        <v>6</v>
      </c>
    </row>
    <row r="46" spans="1:11" x14ac:dyDescent="0.3">
      <c r="A46" s="2" t="s">
        <v>19</v>
      </c>
      <c r="B46" s="2" t="s">
        <v>14</v>
      </c>
      <c r="C46" s="2" t="s">
        <v>13</v>
      </c>
      <c r="D46" s="2">
        <v>68</v>
      </c>
      <c r="E46" s="2">
        <v>7412</v>
      </c>
      <c r="F46" s="3">
        <v>6937</v>
      </c>
      <c r="G46" s="3">
        <v>51417044</v>
      </c>
      <c r="H46" s="3">
        <v>35592572</v>
      </c>
      <c r="I46" s="3">
        <v>15824472</v>
      </c>
      <c r="J46" s="2">
        <v>62</v>
      </c>
      <c r="K46" s="2">
        <v>6</v>
      </c>
    </row>
    <row r="47" spans="1:11" x14ac:dyDescent="0.3">
      <c r="A47" s="2" t="s">
        <v>19</v>
      </c>
      <c r="B47" s="2" t="s">
        <v>15</v>
      </c>
      <c r="C47" s="2" t="s">
        <v>13</v>
      </c>
      <c r="D47" s="2">
        <v>117</v>
      </c>
      <c r="E47" s="2">
        <v>14040</v>
      </c>
      <c r="F47" s="3">
        <v>6871</v>
      </c>
      <c r="G47" s="3">
        <v>96468840</v>
      </c>
      <c r="H47" s="3">
        <v>75922274</v>
      </c>
      <c r="I47" s="3">
        <v>20546566</v>
      </c>
      <c r="J47" s="2">
        <v>103</v>
      </c>
      <c r="K47" s="2">
        <v>14</v>
      </c>
    </row>
    <row r="48" spans="1:11" x14ac:dyDescent="0.3">
      <c r="A48" s="2" t="s">
        <v>19</v>
      </c>
      <c r="B48" s="2" t="s">
        <v>14</v>
      </c>
      <c r="C48" s="2" t="s">
        <v>17</v>
      </c>
      <c r="D48" s="2">
        <v>129</v>
      </c>
      <c r="E48" s="2">
        <v>18318</v>
      </c>
      <c r="F48" s="3">
        <v>6815</v>
      </c>
      <c r="G48" s="3">
        <v>124837170</v>
      </c>
      <c r="H48" s="3">
        <v>96636564</v>
      </c>
      <c r="I48" s="3">
        <v>28200606</v>
      </c>
      <c r="J48" s="2">
        <v>110</v>
      </c>
      <c r="K48" s="2">
        <v>19</v>
      </c>
    </row>
    <row r="49" spans="1:11" x14ac:dyDescent="0.3">
      <c r="A49" s="2" t="s">
        <v>19</v>
      </c>
      <c r="B49" s="2" t="s">
        <v>15</v>
      </c>
      <c r="C49" s="2" t="s">
        <v>16</v>
      </c>
      <c r="D49" s="2">
        <v>130</v>
      </c>
      <c r="E49" s="2">
        <v>16250</v>
      </c>
      <c r="F49" s="3">
        <v>5477</v>
      </c>
      <c r="G49" s="3">
        <v>89001250</v>
      </c>
      <c r="H49" s="3">
        <v>64776054</v>
      </c>
      <c r="I49" s="3">
        <v>24225196</v>
      </c>
      <c r="J49" s="2">
        <v>123</v>
      </c>
      <c r="K49" s="2">
        <v>7</v>
      </c>
    </row>
    <row r="50" spans="1:11" x14ac:dyDescent="0.3">
      <c r="A50" s="2" t="s">
        <v>19</v>
      </c>
      <c r="B50" s="2" t="s">
        <v>12</v>
      </c>
      <c r="C50" s="2" t="s">
        <v>18</v>
      </c>
      <c r="D50" s="2">
        <v>103</v>
      </c>
      <c r="E50" s="2">
        <v>12875</v>
      </c>
      <c r="F50" s="3">
        <v>8305</v>
      </c>
      <c r="G50" s="3">
        <v>106926875</v>
      </c>
      <c r="H50" s="3">
        <v>87181288</v>
      </c>
      <c r="I50" s="3">
        <v>19745587</v>
      </c>
      <c r="J50" s="2">
        <v>97</v>
      </c>
      <c r="K50" s="2">
        <v>6</v>
      </c>
    </row>
    <row r="51" spans="1:11" x14ac:dyDescent="0.3">
      <c r="A51" s="2" t="s">
        <v>19</v>
      </c>
      <c r="B51" s="2" t="s">
        <v>14</v>
      </c>
      <c r="C51" s="2" t="s">
        <v>17</v>
      </c>
      <c r="D51" s="2">
        <v>124</v>
      </c>
      <c r="E51" s="2">
        <v>17484</v>
      </c>
      <c r="F51" s="3">
        <v>4909</v>
      </c>
      <c r="G51" s="3">
        <v>85828956</v>
      </c>
      <c r="H51" s="3">
        <v>59495510</v>
      </c>
      <c r="I51" s="3">
        <v>26333446</v>
      </c>
      <c r="J51" s="2">
        <v>116</v>
      </c>
      <c r="K51" s="2">
        <v>8</v>
      </c>
    </row>
    <row r="52" spans="1:11" x14ac:dyDescent="0.3">
      <c r="A52" s="2" t="s">
        <v>20</v>
      </c>
      <c r="B52" s="2" t="s">
        <v>12</v>
      </c>
      <c r="C52" s="2" t="s">
        <v>18</v>
      </c>
      <c r="D52" s="2">
        <v>61</v>
      </c>
      <c r="E52" s="2">
        <v>7747</v>
      </c>
      <c r="F52" s="3">
        <v>8108</v>
      </c>
      <c r="G52" s="3">
        <v>62812676</v>
      </c>
      <c r="H52" s="3">
        <v>43490393</v>
      </c>
      <c r="I52" s="3">
        <v>19322283</v>
      </c>
      <c r="J52" s="2">
        <v>55</v>
      </c>
      <c r="K52" s="2">
        <v>6</v>
      </c>
    </row>
    <row r="53" spans="1:11" x14ac:dyDescent="0.3">
      <c r="A53" s="2" t="s">
        <v>20</v>
      </c>
      <c r="B53" s="2" t="s">
        <v>15</v>
      </c>
      <c r="C53" s="2" t="s">
        <v>18</v>
      </c>
      <c r="D53" s="2">
        <v>65</v>
      </c>
      <c r="E53" s="2">
        <v>8645</v>
      </c>
      <c r="F53" s="3">
        <v>7915</v>
      </c>
      <c r="G53" s="3">
        <v>68425175</v>
      </c>
      <c r="H53" s="3">
        <v>53219680</v>
      </c>
      <c r="I53" s="3">
        <v>15205495</v>
      </c>
      <c r="J53" s="2">
        <v>58</v>
      </c>
      <c r="K53" s="2">
        <v>7</v>
      </c>
    </row>
    <row r="54" spans="1:11" x14ac:dyDescent="0.3">
      <c r="A54" s="2" t="s">
        <v>20</v>
      </c>
      <c r="B54" s="2" t="s">
        <v>12</v>
      </c>
      <c r="C54" s="2" t="s">
        <v>13</v>
      </c>
      <c r="D54" s="2">
        <v>130</v>
      </c>
      <c r="E54" s="2">
        <v>18200</v>
      </c>
      <c r="F54" s="3">
        <v>5726</v>
      </c>
      <c r="G54" s="3">
        <v>104213200</v>
      </c>
      <c r="H54" s="3">
        <v>88343206</v>
      </c>
      <c r="I54" s="3">
        <v>15869994</v>
      </c>
      <c r="J54" s="2">
        <v>124</v>
      </c>
      <c r="K54" s="2">
        <v>6</v>
      </c>
    </row>
    <row r="55" spans="1:11" x14ac:dyDescent="0.3">
      <c r="A55" s="2" t="s">
        <v>20</v>
      </c>
      <c r="B55" s="2" t="s">
        <v>14</v>
      </c>
      <c r="C55" s="2" t="s">
        <v>18</v>
      </c>
      <c r="D55" s="2">
        <v>59</v>
      </c>
      <c r="E55" s="2">
        <v>6549</v>
      </c>
      <c r="F55" s="3">
        <v>7540</v>
      </c>
      <c r="G55" s="3">
        <v>49379460</v>
      </c>
      <c r="H55" s="3">
        <v>38495252</v>
      </c>
      <c r="I55" s="3">
        <v>10884208</v>
      </c>
      <c r="J55" s="2">
        <v>52</v>
      </c>
      <c r="K55" s="2">
        <v>7</v>
      </c>
    </row>
    <row r="56" spans="1:11" x14ac:dyDescent="0.3">
      <c r="A56" s="2" t="s">
        <v>20</v>
      </c>
      <c r="B56" s="2" t="s">
        <v>15</v>
      </c>
      <c r="C56" s="2" t="s">
        <v>16</v>
      </c>
      <c r="D56" s="2">
        <v>136</v>
      </c>
      <c r="E56" s="2">
        <v>17136</v>
      </c>
      <c r="F56" s="3">
        <v>5333</v>
      </c>
      <c r="G56" s="3">
        <v>91386288</v>
      </c>
      <c r="H56" s="3">
        <v>73451681</v>
      </c>
      <c r="I56" s="3">
        <v>17934607</v>
      </c>
      <c r="J56" s="2">
        <v>123</v>
      </c>
      <c r="K56" s="2">
        <v>13</v>
      </c>
    </row>
    <row r="57" spans="1:11" x14ac:dyDescent="0.3">
      <c r="A57" s="2" t="s">
        <v>20</v>
      </c>
      <c r="B57" s="2" t="s">
        <v>12</v>
      </c>
      <c r="C57" s="2" t="s">
        <v>17</v>
      </c>
      <c r="D57" s="2">
        <v>77</v>
      </c>
      <c r="E57" s="2">
        <v>8316</v>
      </c>
      <c r="F57" s="3">
        <v>4878</v>
      </c>
      <c r="G57" s="3">
        <v>40565448</v>
      </c>
      <c r="H57" s="3">
        <v>32215910</v>
      </c>
      <c r="I57" s="3">
        <v>8349538</v>
      </c>
      <c r="J57" s="2">
        <v>66</v>
      </c>
      <c r="K57" s="2">
        <v>11</v>
      </c>
    </row>
    <row r="58" spans="1:11" x14ac:dyDescent="0.3">
      <c r="A58" s="2" t="s">
        <v>20</v>
      </c>
      <c r="B58" s="2" t="s">
        <v>15</v>
      </c>
      <c r="C58" s="2" t="s">
        <v>13</v>
      </c>
      <c r="D58" s="2">
        <v>45</v>
      </c>
      <c r="E58" s="2">
        <v>5670</v>
      </c>
      <c r="F58" s="3">
        <v>7658</v>
      </c>
      <c r="G58" s="3">
        <v>43420860</v>
      </c>
      <c r="H58" s="3">
        <v>30548639</v>
      </c>
      <c r="I58" s="3">
        <v>12872221</v>
      </c>
      <c r="J58" s="2">
        <v>38</v>
      </c>
      <c r="K58" s="2">
        <v>7</v>
      </c>
    </row>
    <row r="59" spans="1:11" x14ac:dyDescent="0.3">
      <c r="A59" s="2" t="s">
        <v>20</v>
      </c>
      <c r="B59" s="2" t="s">
        <v>14</v>
      </c>
      <c r="C59" s="2" t="s">
        <v>17</v>
      </c>
      <c r="D59" s="2">
        <v>115</v>
      </c>
      <c r="E59" s="2">
        <v>15180</v>
      </c>
      <c r="F59" s="3">
        <v>6797</v>
      </c>
      <c r="G59" s="3">
        <v>103178460</v>
      </c>
      <c r="H59" s="3">
        <v>70340939</v>
      </c>
      <c r="I59" s="3">
        <v>32837521</v>
      </c>
      <c r="J59" s="2">
        <v>109</v>
      </c>
      <c r="K59" s="2">
        <v>6</v>
      </c>
    </row>
    <row r="60" spans="1:11" x14ac:dyDescent="0.3">
      <c r="A60" s="2" t="s">
        <v>20</v>
      </c>
      <c r="B60" s="2" t="s">
        <v>12</v>
      </c>
      <c r="C60" s="2" t="s">
        <v>16</v>
      </c>
      <c r="D60" s="2">
        <v>114</v>
      </c>
      <c r="E60" s="2">
        <v>12198</v>
      </c>
      <c r="F60" s="3">
        <v>7918</v>
      </c>
      <c r="G60" s="3">
        <v>96583764</v>
      </c>
      <c r="H60" s="3">
        <v>72095808</v>
      </c>
      <c r="I60" s="3">
        <v>24487956</v>
      </c>
      <c r="J60" s="2">
        <v>101</v>
      </c>
      <c r="K60" s="2">
        <v>13</v>
      </c>
    </row>
    <row r="61" spans="1:11" x14ac:dyDescent="0.3">
      <c r="A61" s="2" t="s">
        <v>20</v>
      </c>
      <c r="B61" s="2" t="s">
        <v>14</v>
      </c>
      <c r="C61" s="2" t="s">
        <v>17</v>
      </c>
      <c r="D61" s="2">
        <v>61</v>
      </c>
      <c r="E61" s="2">
        <v>6527</v>
      </c>
      <c r="F61" s="3">
        <v>5762</v>
      </c>
      <c r="G61" s="3">
        <v>37608574</v>
      </c>
      <c r="H61" s="3">
        <v>28042354</v>
      </c>
      <c r="I61" s="3">
        <v>9566220</v>
      </c>
      <c r="J61" s="2">
        <v>56</v>
      </c>
      <c r="K61" s="2">
        <v>5</v>
      </c>
    </row>
    <row r="62" spans="1:11" x14ac:dyDescent="0.3">
      <c r="A62" s="2" t="s">
        <v>20</v>
      </c>
      <c r="B62" s="2" t="s">
        <v>15</v>
      </c>
      <c r="C62" s="2" t="s">
        <v>16</v>
      </c>
      <c r="D62" s="2">
        <v>132</v>
      </c>
      <c r="E62" s="2">
        <v>15840</v>
      </c>
      <c r="F62" s="3">
        <v>7231</v>
      </c>
      <c r="G62" s="3">
        <v>114539040</v>
      </c>
      <c r="H62" s="3">
        <v>80005846</v>
      </c>
      <c r="I62" s="3">
        <v>34533194</v>
      </c>
      <c r="J62" s="2">
        <v>115</v>
      </c>
      <c r="K62" s="2">
        <v>17</v>
      </c>
    </row>
    <row r="63" spans="1:11" x14ac:dyDescent="0.3">
      <c r="A63" s="2" t="s">
        <v>20</v>
      </c>
      <c r="B63" s="2" t="s">
        <v>12</v>
      </c>
      <c r="C63" s="2" t="s">
        <v>17</v>
      </c>
      <c r="D63" s="2">
        <v>124</v>
      </c>
      <c r="E63" s="2">
        <v>14136</v>
      </c>
      <c r="F63" s="3">
        <v>8291</v>
      </c>
      <c r="G63" s="3">
        <v>117201576</v>
      </c>
      <c r="H63" s="3">
        <v>99314105</v>
      </c>
      <c r="I63" s="3">
        <v>17887471</v>
      </c>
      <c r="J63" s="2">
        <v>106</v>
      </c>
      <c r="K63" s="2">
        <v>18</v>
      </c>
    </row>
    <row r="64" spans="1:11" x14ac:dyDescent="0.3">
      <c r="A64" s="2" t="s">
        <v>20</v>
      </c>
      <c r="B64" s="2" t="s">
        <v>14</v>
      </c>
      <c r="C64" s="2" t="s">
        <v>16</v>
      </c>
      <c r="D64" s="2">
        <v>97</v>
      </c>
      <c r="E64" s="2">
        <v>10282</v>
      </c>
      <c r="F64" s="3">
        <v>5234</v>
      </c>
      <c r="G64" s="3">
        <v>53815988</v>
      </c>
      <c r="H64" s="3">
        <v>43729881</v>
      </c>
      <c r="I64" s="3">
        <v>10086107</v>
      </c>
      <c r="J64" s="2">
        <v>87</v>
      </c>
      <c r="K64" s="2">
        <v>10</v>
      </c>
    </row>
    <row r="65" spans="1:11" x14ac:dyDescent="0.3">
      <c r="A65" s="2" t="s">
        <v>20</v>
      </c>
      <c r="B65" s="2" t="s">
        <v>15</v>
      </c>
      <c r="C65" s="2" t="s">
        <v>16</v>
      </c>
      <c r="D65" s="2">
        <v>79</v>
      </c>
      <c r="E65" s="2">
        <v>9085</v>
      </c>
      <c r="F65" s="3">
        <v>7725</v>
      </c>
      <c r="G65" s="3">
        <v>70181625</v>
      </c>
      <c r="H65" s="3">
        <v>56582536</v>
      </c>
      <c r="I65" s="3">
        <v>13599089</v>
      </c>
      <c r="J65" s="2">
        <v>71</v>
      </c>
      <c r="K65" s="2">
        <v>8</v>
      </c>
    </row>
    <row r="66" spans="1:11" x14ac:dyDescent="0.3">
      <c r="A66" s="2" t="s">
        <v>20</v>
      </c>
      <c r="B66" s="2" t="s">
        <v>14</v>
      </c>
      <c r="C66" s="2" t="s">
        <v>17</v>
      </c>
      <c r="D66" s="2">
        <v>73</v>
      </c>
      <c r="E66" s="2">
        <v>8541</v>
      </c>
      <c r="F66" s="3">
        <v>7844</v>
      </c>
      <c r="G66" s="3">
        <v>66995604</v>
      </c>
      <c r="H66" s="3">
        <v>56632813</v>
      </c>
      <c r="I66" s="3">
        <v>10362791</v>
      </c>
      <c r="J66" s="2">
        <v>66</v>
      </c>
      <c r="K66" s="2">
        <v>7</v>
      </c>
    </row>
    <row r="67" spans="1:11" x14ac:dyDescent="0.3">
      <c r="A67" s="2" t="s">
        <v>20</v>
      </c>
      <c r="B67" s="2" t="s">
        <v>15</v>
      </c>
      <c r="C67" s="2" t="s">
        <v>16</v>
      </c>
      <c r="D67" s="2">
        <v>73</v>
      </c>
      <c r="E67" s="2">
        <v>7738</v>
      </c>
      <c r="F67" s="3">
        <v>7203</v>
      </c>
      <c r="G67" s="3">
        <v>55736814</v>
      </c>
      <c r="H67" s="3">
        <v>39838632</v>
      </c>
      <c r="I67" s="3">
        <v>15898182</v>
      </c>
      <c r="J67" s="2">
        <v>66</v>
      </c>
      <c r="K67" s="2">
        <v>7</v>
      </c>
    </row>
    <row r="68" spans="1:11" x14ac:dyDescent="0.3">
      <c r="A68" s="2" t="s">
        <v>20</v>
      </c>
      <c r="B68" s="2" t="s">
        <v>15</v>
      </c>
      <c r="C68" s="2" t="s">
        <v>13</v>
      </c>
      <c r="D68" s="2">
        <v>143</v>
      </c>
      <c r="E68" s="2">
        <v>17446</v>
      </c>
      <c r="F68" s="3">
        <v>5938</v>
      </c>
      <c r="G68" s="3">
        <v>103594348</v>
      </c>
      <c r="H68" s="3">
        <v>82405855</v>
      </c>
      <c r="I68" s="3">
        <v>21188493</v>
      </c>
      <c r="J68" s="2">
        <v>126</v>
      </c>
      <c r="K68" s="2">
        <v>17</v>
      </c>
    </row>
    <row r="69" spans="1:11" x14ac:dyDescent="0.3">
      <c r="A69" s="2" t="s">
        <v>20</v>
      </c>
      <c r="B69" s="2" t="s">
        <v>12</v>
      </c>
      <c r="C69" s="2" t="s">
        <v>18</v>
      </c>
      <c r="D69" s="2">
        <v>48</v>
      </c>
      <c r="E69" s="2">
        <v>5376</v>
      </c>
      <c r="F69" s="3">
        <v>8092</v>
      </c>
      <c r="G69" s="3">
        <v>43502592</v>
      </c>
      <c r="H69" s="3">
        <v>37180452</v>
      </c>
      <c r="I69" s="3">
        <v>6322140</v>
      </c>
      <c r="J69" s="2">
        <v>42</v>
      </c>
      <c r="K69" s="2">
        <v>6</v>
      </c>
    </row>
    <row r="70" spans="1:11" x14ac:dyDescent="0.3">
      <c r="A70" s="2" t="s">
        <v>20</v>
      </c>
      <c r="B70" s="2" t="s">
        <v>12</v>
      </c>
      <c r="C70" s="2" t="s">
        <v>18</v>
      </c>
      <c r="D70" s="2">
        <v>49</v>
      </c>
      <c r="E70" s="2">
        <v>5439</v>
      </c>
      <c r="F70" s="3">
        <v>6943</v>
      </c>
      <c r="G70" s="3">
        <v>37762977</v>
      </c>
      <c r="H70" s="3">
        <v>28632700</v>
      </c>
      <c r="I70" s="3">
        <v>9130277</v>
      </c>
      <c r="J70" s="2">
        <v>42</v>
      </c>
      <c r="K70" s="2">
        <v>7</v>
      </c>
    </row>
    <row r="71" spans="1:11" x14ac:dyDescent="0.3">
      <c r="A71" s="2" t="s">
        <v>20</v>
      </c>
      <c r="B71" s="2" t="s">
        <v>15</v>
      </c>
      <c r="C71" s="2" t="s">
        <v>13</v>
      </c>
      <c r="D71" s="2">
        <v>94</v>
      </c>
      <c r="E71" s="2">
        <v>13254</v>
      </c>
      <c r="F71" s="3">
        <v>5278</v>
      </c>
      <c r="G71" s="3">
        <v>69954612</v>
      </c>
      <c r="H71" s="3">
        <v>50776558</v>
      </c>
      <c r="I71" s="3">
        <v>19178054</v>
      </c>
      <c r="J71" s="2">
        <v>83</v>
      </c>
      <c r="K71" s="2">
        <v>11</v>
      </c>
    </row>
    <row r="72" spans="1:11" x14ac:dyDescent="0.3">
      <c r="A72" s="2" t="s">
        <v>20</v>
      </c>
      <c r="B72" s="2" t="s">
        <v>14</v>
      </c>
      <c r="C72" s="2" t="s">
        <v>16</v>
      </c>
      <c r="D72" s="2">
        <v>91</v>
      </c>
      <c r="E72" s="2">
        <v>12012</v>
      </c>
      <c r="F72" s="3">
        <v>4786</v>
      </c>
      <c r="G72" s="3">
        <v>57489432</v>
      </c>
      <c r="H72" s="3">
        <v>48911859</v>
      </c>
      <c r="I72" s="3">
        <v>8577573</v>
      </c>
      <c r="J72" s="2">
        <v>81</v>
      </c>
      <c r="K72" s="2">
        <v>10</v>
      </c>
    </row>
    <row r="73" spans="1:11" x14ac:dyDescent="0.3">
      <c r="A73" s="2" t="s">
        <v>20</v>
      </c>
      <c r="B73" s="2" t="s">
        <v>12</v>
      </c>
      <c r="C73" s="2" t="s">
        <v>18</v>
      </c>
      <c r="D73" s="2">
        <v>129</v>
      </c>
      <c r="E73" s="2">
        <v>14448</v>
      </c>
      <c r="F73" s="3">
        <v>7448</v>
      </c>
      <c r="G73" s="3">
        <v>107608704</v>
      </c>
      <c r="H73" s="3">
        <v>90607435</v>
      </c>
      <c r="I73" s="3">
        <v>17001269</v>
      </c>
      <c r="J73" s="2">
        <v>116</v>
      </c>
      <c r="K73" s="2">
        <v>13</v>
      </c>
    </row>
    <row r="74" spans="1:11" x14ac:dyDescent="0.3">
      <c r="A74" s="2" t="s">
        <v>20</v>
      </c>
      <c r="B74" s="2" t="s">
        <v>15</v>
      </c>
      <c r="C74" s="2" t="s">
        <v>17</v>
      </c>
      <c r="D74" s="2">
        <v>86</v>
      </c>
      <c r="E74" s="2">
        <v>11180</v>
      </c>
      <c r="F74" s="3">
        <v>7355</v>
      </c>
      <c r="G74" s="3">
        <v>82228900</v>
      </c>
      <c r="H74" s="3">
        <v>60291704</v>
      </c>
      <c r="I74" s="3">
        <v>21937196</v>
      </c>
      <c r="J74" s="2">
        <v>79</v>
      </c>
      <c r="K74" s="2">
        <v>7</v>
      </c>
    </row>
    <row r="75" spans="1:11" x14ac:dyDescent="0.3">
      <c r="A75" s="2" t="s">
        <v>20</v>
      </c>
      <c r="B75" s="2" t="s">
        <v>14</v>
      </c>
      <c r="C75" s="2" t="s">
        <v>17</v>
      </c>
      <c r="D75" s="2">
        <v>130</v>
      </c>
      <c r="E75" s="2">
        <v>16770</v>
      </c>
      <c r="F75" s="3">
        <v>7274</v>
      </c>
      <c r="G75" s="3">
        <v>121984980</v>
      </c>
      <c r="H75" s="3">
        <v>99376798</v>
      </c>
      <c r="I75" s="3">
        <v>22608182</v>
      </c>
      <c r="J75" s="2">
        <v>123</v>
      </c>
      <c r="K75" s="2">
        <v>7</v>
      </c>
    </row>
    <row r="76" spans="1:11" x14ac:dyDescent="0.3">
      <c r="A76" s="2" t="s">
        <v>20</v>
      </c>
      <c r="B76" s="2" t="s">
        <v>12</v>
      </c>
      <c r="C76" s="2" t="s">
        <v>18</v>
      </c>
      <c r="D76" s="2">
        <v>96</v>
      </c>
      <c r="E76" s="2">
        <v>13440</v>
      </c>
      <c r="F76" s="3">
        <v>7914</v>
      </c>
      <c r="G76" s="3">
        <v>106364160</v>
      </c>
      <c r="H76" s="3">
        <v>72335400</v>
      </c>
      <c r="I76" s="3">
        <v>34028760</v>
      </c>
      <c r="J76" s="2">
        <v>87</v>
      </c>
      <c r="K76" s="2">
        <v>9</v>
      </c>
    </row>
    <row r="77" spans="1:11" x14ac:dyDescent="0.3">
      <c r="A77" s="2" t="s">
        <v>21</v>
      </c>
      <c r="B77" s="2" t="s">
        <v>14</v>
      </c>
      <c r="C77" s="2" t="s">
        <v>17</v>
      </c>
      <c r="D77" s="2">
        <v>145</v>
      </c>
      <c r="E77" s="2">
        <v>20590</v>
      </c>
      <c r="F77" s="3">
        <v>6984</v>
      </c>
      <c r="G77" s="3">
        <v>143800560</v>
      </c>
      <c r="H77" s="3">
        <v>114730847</v>
      </c>
      <c r="I77" s="3">
        <v>29069713</v>
      </c>
      <c r="J77" s="2">
        <v>126</v>
      </c>
      <c r="K77" s="2">
        <v>19</v>
      </c>
    </row>
    <row r="78" spans="1:11" x14ac:dyDescent="0.3">
      <c r="A78" s="2" t="s">
        <v>21</v>
      </c>
      <c r="B78" s="2" t="s">
        <v>15</v>
      </c>
      <c r="C78" s="2" t="s">
        <v>17</v>
      </c>
      <c r="D78" s="2">
        <v>131</v>
      </c>
      <c r="E78" s="2">
        <v>15458</v>
      </c>
      <c r="F78" s="3">
        <v>6593</v>
      </c>
      <c r="G78" s="3">
        <v>101914594</v>
      </c>
      <c r="H78" s="3">
        <v>77982347</v>
      </c>
      <c r="I78" s="3">
        <v>23932247</v>
      </c>
      <c r="J78" s="2">
        <v>112</v>
      </c>
      <c r="K78" s="2">
        <v>19</v>
      </c>
    </row>
    <row r="79" spans="1:11" x14ac:dyDescent="0.3">
      <c r="A79" s="2" t="s">
        <v>21</v>
      </c>
      <c r="B79" s="2" t="s">
        <v>12</v>
      </c>
      <c r="C79" s="2" t="s">
        <v>16</v>
      </c>
      <c r="D79" s="2">
        <v>129</v>
      </c>
      <c r="E79" s="2">
        <v>14190</v>
      </c>
      <c r="F79" s="3">
        <v>5662</v>
      </c>
      <c r="G79" s="3">
        <v>80343780</v>
      </c>
      <c r="H79" s="3">
        <v>62088175</v>
      </c>
      <c r="I79" s="3">
        <v>18255605</v>
      </c>
      <c r="J79" s="2">
        <v>114</v>
      </c>
      <c r="K79" s="2">
        <v>15</v>
      </c>
    </row>
    <row r="80" spans="1:11" x14ac:dyDescent="0.3">
      <c r="A80" s="2" t="s">
        <v>21</v>
      </c>
      <c r="B80" s="2" t="s">
        <v>12</v>
      </c>
      <c r="C80" s="2" t="s">
        <v>18</v>
      </c>
      <c r="D80" s="2">
        <v>56</v>
      </c>
      <c r="E80" s="2">
        <v>6720</v>
      </c>
      <c r="F80" s="3">
        <v>7255</v>
      </c>
      <c r="G80" s="3">
        <v>48753600</v>
      </c>
      <c r="H80" s="3">
        <v>35876579</v>
      </c>
      <c r="I80" s="3">
        <v>12877021</v>
      </c>
      <c r="J80" s="2">
        <v>50</v>
      </c>
      <c r="K80" s="2">
        <v>6</v>
      </c>
    </row>
    <row r="81" spans="1:11" x14ac:dyDescent="0.3">
      <c r="A81" s="2" t="s">
        <v>21</v>
      </c>
      <c r="B81" s="2" t="s">
        <v>14</v>
      </c>
      <c r="C81" s="2" t="s">
        <v>13</v>
      </c>
      <c r="D81" s="2">
        <v>50</v>
      </c>
      <c r="E81" s="2">
        <v>6000</v>
      </c>
      <c r="F81" s="3">
        <v>6446</v>
      </c>
      <c r="G81" s="3">
        <v>38676000</v>
      </c>
      <c r="H81" s="3">
        <v>30555173</v>
      </c>
      <c r="I81" s="3">
        <v>8120827</v>
      </c>
      <c r="J81" s="2">
        <v>45</v>
      </c>
      <c r="K81" s="2">
        <v>5</v>
      </c>
    </row>
    <row r="82" spans="1:11" x14ac:dyDescent="0.3">
      <c r="A82" s="2" t="s">
        <v>21</v>
      </c>
      <c r="B82" s="2" t="s">
        <v>15</v>
      </c>
      <c r="C82" s="2" t="s">
        <v>17</v>
      </c>
      <c r="D82" s="2">
        <v>125</v>
      </c>
      <c r="E82" s="2">
        <v>17625</v>
      </c>
      <c r="F82" s="3">
        <v>5296</v>
      </c>
      <c r="G82" s="3">
        <v>93342000</v>
      </c>
      <c r="H82" s="3">
        <v>75541892</v>
      </c>
      <c r="I82" s="3">
        <v>17800108</v>
      </c>
      <c r="J82" s="2">
        <v>114</v>
      </c>
      <c r="K82" s="2">
        <v>11</v>
      </c>
    </row>
    <row r="83" spans="1:11" x14ac:dyDescent="0.3">
      <c r="A83" s="2" t="s">
        <v>21</v>
      </c>
      <c r="B83" s="2" t="s">
        <v>15</v>
      </c>
      <c r="C83" s="2" t="s">
        <v>17</v>
      </c>
      <c r="D83" s="2">
        <v>76</v>
      </c>
      <c r="E83" s="2">
        <v>8664</v>
      </c>
      <c r="F83" s="3">
        <v>7187</v>
      </c>
      <c r="G83" s="3">
        <v>62268168</v>
      </c>
      <c r="H83" s="3">
        <v>50049412</v>
      </c>
      <c r="I83" s="3">
        <v>12218756</v>
      </c>
      <c r="J83" s="2">
        <v>65</v>
      </c>
      <c r="K83" s="2">
        <v>11</v>
      </c>
    </row>
    <row r="84" spans="1:11" x14ac:dyDescent="0.3">
      <c r="A84" s="2" t="s">
        <v>21</v>
      </c>
      <c r="B84" s="2" t="s">
        <v>14</v>
      </c>
      <c r="C84" s="2" t="s">
        <v>17</v>
      </c>
      <c r="D84" s="2">
        <v>73</v>
      </c>
      <c r="E84" s="2">
        <v>8468</v>
      </c>
      <c r="F84" s="3">
        <v>7793</v>
      </c>
      <c r="G84" s="3">
        <v>65991124</v>
      </c>
      <c r="H84" s="3">
        <v>56253070</v>
      </c>
      <c r="I84" s="3">
        <v>9738054</v>
      </c>
      <c r="J84" s="2">
        <v>64</v>
      </c>
      <c r="K84" s="2">
        <v>9</v>
      </c>
    </row>
    <row r="85" spans="1:11" x14ac:dyDescent="0.3">
      <c r="A85" s="2" t="s">
        <v>21</v>
      </c>
      <c r="B85" s="2" t="s">
        <v>15</v>
      </c>
      <c r="C85" s="2" t="s">
        <v>13</v>
      </c>
      <c r="D85" s="2">
        <v>116</v>
      </c>
      <c r="E85" s="2">
        <v>13920</v>
      </c>
      <c r="F85" s="3">
        <v>8257</v>
      </c>
      <c r="G85" s="3">
        <v>114937440</v>
      </c>
      <c r="H85" s="3">
        <v>95708468</v>
      </c>
      <c r="I85" s="3">
        <v>19228972</v>
      </c>
      <c r="J85" s="2">
        <v>104</v>
      </c>
      <c r="K85" s="2">
        <v>12</v>
      </c>
    </row>
    <row r="86" spans="1:11" x14ac:dyDescent="0.3">
      <c r="A86" s="2" t="s">
        <v>21</v>
      </c>
      <c r="B86" s="2" t="s">
        <v>14</v>
      </c>
      <c r="C86" s="2" t="s">
        <v>17</v>
      </c>
      <c r="D86" s="2">
        <v>130</v>
      </c>
      <c r="E86" s="2">
        <v>17940</v>
      </c>
      <c r="F86" s="3">
        <v>6789</v>
      </c>
      <c r="G86" s="3">
        <v>121794660</v>
      </c>
      <c r="H86" s="3">
        <v>95874493</v>
      </c>
      <c r="I86" s="3">
        <v>25920167</v>
      </c>
      <c r="J86" s="2">
        <v>113</v>
      </c>
      <c r="K86" s="2">
        <v>17</v>
      </c>
    </row>
    <row r="87" spans="1:11" x14ac:dyDescent="0.3">
      <c r="A87" s="2" t="s">
        <v>21</v>
      </c>
      <c r="B87" s="2" t="s">
        <v>15</v>
      </c>
      <c r="C87" s="2" t="s">
        <v>17</v>
      </c>
      <c r="D87" s="2">
        <v>115</v>
      </c>
      <c r="E87" s="2">
        <v>15295</v>
      </c>
      <c r="F87" s="3">
        <v>8174</v>
      </c>
      <c r="G87" s="3">
        <v>125021330</v>
      </c>
      <c r="H87" s="3">
        <v>88596168</v>
      </c>
      <c r="I87" s="3">
        <v>36425162</v>
      </c>
      <c r="J87" s="2">
        <v>103</v>
      </c>
      <c r="K87" s="2">
        <v>12</v>
      </c>
    </row>
    <row r="88" spans="1:11" x14ac:dyDescent="0.3">
      <c r="A88" s="2" t="s">
        <v>21</v>
      </c>
      <c r="B88" s="2" t="s">
        <v>15</v>
      </c>
      <c r="C88" s="2" t="s">
        <v>18</v>
      </c>
      <c r="D88" s="2">
        <v>141</v>
      </c>
      <c r="E88" s="2">
        <v>16920</v>
      </c>
      <c r="F88" s="3">
        <v>7940</v>
      </c>
      <c r="G88" s="3">
        <v>134344800</v>
      </c>
      <c r="H88" s="3">
        <v>106774433</v>
      </c>
      <c r="I88" s="3">
        <v>27570367</v>
      </c>
      <c r="J88" s="2">
        <v>120</v>
      </c>
      <c r="K88" s="2">
        <v>21</v>
      </c>
    </row>
    <row r="89" spans="1:11" x14ac:dyDescent="0.3">
      <c r="A89" s="2" t="s">
        <v>21</v>
      </c>
      <c r="B89" s="2" t="s">
        <v>15</v>
      </c>
      <c r="C89" s="2" t="s">
        <v>16</v>
      </c>
      <c r="D89" s="2">
        <v>80</v>
      </c>
      <c r="E89" s="2">
        <v>10640</v>
      </c>
      <c r="F89" s="3">
        <v>4817</v>
      </c>
      <c r="G89" s="3">
        <v>51252880</v>
      </c>
      <c r="H89" s="3">
        <v>41434779</v>
      </c>
      <c r="I89" s="3">
        <v>9818101</v>
      </c>
      <c r="J89" s="2">
        <v>72</v>
      </c>
      <c r="K89" s="2">
        <v>8</v>
      </c>
    </row>
    <row r="90" spans="1:11" x14ac:dyDescent="0.3">
      <c r="A90" s="2" t="s">
        <v>21</v>
      </c>
      <c r="B90" s="2" t="s">
        <v>15</v>
      </c>
      <c r="C90" s="2" t="s">
        <v>18</v>
      </c>
      <c r="D90" s="2">
        <v>85</v>
      </c>
      <c r="E90" s="2">
        <v>11815</v>
      </c>
      <c r="F90" s="3">
        <v>4830</v>
      </c>
      <c r="G90" s="3">
        <v>57066450</v>
      </c>
      <c r="H90" s="3">
        <v>40226558</v>
      </c>
      <c r="I90" s="3">
        <v>16839892</v>
      </c>
      <c r="J90" s="2">
        <v>77</v>
      </c>
      <c r="K90" s="2">
        <v>8</v>
      </c>
    </row>
    <row r="91" spans="1:11" x14ac:dyDescent="0.3">
      <c r="A91" s="2" t="s">
        <v>21</v>
      </c>
      <c r="B91" s="2" t="s">
        <v>15</v>
      </c>
      <c r="C91" s="2" t="s">
        <v>16</v>
      </c>
      <c r="D91" s="2">
        <v>135</v>
      </c>
      <c r="E91" s="2">
        <v>15930</v>
      </c>
      <c r="F91" s="3">
        <v>4763</v>
      </c>
      <c r="G91" s="3">
        <v>75874590</v>
      </c>
      <c r="H91" s="3">
        <v>57260748</v>
      </c>
      <c r="I91" s="3">
        <v>18613842</v>
      </c>
      <c r="J91" s="2">
        <v>120</v>
      </c>
      <c r="K91" s="2">
        <v>15</v>
      </c>
    </row>
    <row r="92" spans="1:11" x14ac:dyDescent="0.3">
      <c r="A92" s="2" t="s">
        <v>21</v>
      </c>
      <c r="B92" s="2" t="s">
        <v>12</v>
      </c>
      <c r="C92" s="2" t="s">
        <v>17</v>
      </c>
      <c r="D92" s="2">
        <v>98</v>
      </c>
      <c r="E92" s="2">
        <v>10584</v>
      </c>
      <c r="F92" s="3">
        <v>5347</v>
      </c>
      <c r="G92" s="3">
        <v>56592648</v>
      </c>
      <c r="H92" s="3">
        <v>46967393</v>
      </c>
      <c r="I92" s="3">
        <v>9625255</v>
      </c>
      <c r="J92" s="2">
        <v>87</v>
      </c>
      <c r="K92" s="2">
        <v>11</v>
      </c>
    </row>
    <row r="93" spans="1:11" x14ac:dyDescent="0.3">
      <c r="A93" s="2" t="s">
        <v>21</v>
      </c>
      <c r="B93" s="2" t="s">
        <v>12</v>
      </c>
      <c r="C93" s="2" t="s">
        <v>13</v>
      </c>
      <c r="D93" s="2">
        <v>142</v>
      </c>
      <c r="E93" s="2">
        <v>20022</v>
      </c>
      <c r="F93" s="3">
        <v>6058</v>
      </c>
      <c r="G93" s="3">
        <v>121293276</v>
      </c>
      <c r="H93" s="3">
        <v>92893225</v>
      </c>
      <c r="I93" s="3">
        <v>28400051</v>
      </c>
      <c r="J93" s="2">
        <v>126</v>
      </c>
      <c r="K93" s="2">
        <v>16</v>
      </c>
    </row>
    <row r="94" spans="1:11" x14ac:dyDescent="0.3">
      <c r="A94" s="2" t="s">
        <v>21</v>
      </c>
      <c r="B94" s="2" t="s">
        <v>15</v>
      </c>
      <c r="C94" s="2" t="s">
        <v>17</v>
      </c>
      <c r="D94" s="2">
        <v>98</v>
      </c>
      <c r="E94" s="2">
        <v>13622</v>
      </c>
      <c r="F94" s="3">
        <v>7561</v>
      </c>
      <c r="G94" s="3">
        <v>102995942</v>
      </c>
      <c r="H94" s="3">
        <v>83656819</v>
      </c>
      <c r="I94" s="3">
        <v>19339123</v>
      </c>
      <c r="J94" s="2">
        <v>84</v>
      </c>
      <c r="K94" s="2">
        <v>14</v>
      </c>
    </row>
    <row r="95" spans="1:11" x14ac:dyDescent="0.3">
      <c r="A95" s="2" t="s">
        <v>21</v>
      </c>
      <c r="B95" s="2" t="s">
        <v>14</v>
      </c>
      <c r="C95" s="2" t="s">
        <v>17</v>
      </c>
      <c r="D95" s="2">
        <v>73</v>
      </c>
      <c r="E95" s="2">
        <v>8906</v>
      </c>
      <c r="F95" s="3">
        <v>6285</v>
      </c>
      <c r="G95" s="3">
        <v>55974210</v>
      </c>
      <c r="H95" s="3">
        <v>42955479</v>
      </c>
      <c r="I95" s="3">
        <v>13018731</v>
      </c>
      <c r="J95" s="2">
        <v>65</v>
      </c>
      <c r="K95" s="2">
        <v>8</v>
      </c>
    </row>
    <row r="96" spans="1:11" x14ac:dyDescent="0.3">
      <c r="A96" s="2" t="s">
        <v>21</v>
      </c>
      <c r="B96" s="2" t="s">
        <v>15</v>
      </c>
      <c r="C96" s="2" t="s">
        <v>17</v>
      </c>
      <c r="D96" s="2">
        <v>137</v>
      </c>
      <c r="E96" s="2">
        <v>15755</v>
      </c>
      <c r="F96" s="3">
        <v>7942</v>
      </c>
      <c r="G96" s="3">
        <v>125126210</v>
      </c>
      <c r="H96" s="3">
        <v>95612719</v>
      </c>
      <c r="I96" s="3">
        <v>29513491</v>
      </c>
      <c r="J96" s="2">
        <v>128</v>
      </c>
      <c r="K96" s="2">
        <v>9</v>
      </c>
    </row>
    <row r="97" spans="1:11" x14ac:dyDescent="0.3">
      <c r="A97" s="2" t="s">
        <v>21</v>
      </c>
      <c r="B97" s="2" t="s">
        <v>12</v>
      </c>
      <c r="C97" s="2" t="s">
        <v>13</v>
      </c>
      <c r="D97" s="2">
        <v>95</v>
      </c>
      <c r="E97" s="2">
        <v>13490</v>
      </c>
      <c r="F97" s="3">
        <v>6811</v>
      </c>
      <c r="G97" s="3">
        <v>91880390</v>
      </c>
      <c r="H97" s="3">
        <v>73443666</v>
      </c>
      <c r="I97" s="3">
        <v>18436724</v>
      </c>
      <c r="J97" s="2">
        <v>89</v>
      </c>
      <c r="K97" s="2">
        <v>6</v>
      </c>
    </row>
    <row r="98" spans="1:11" x14ac:dyDescent="0.3">
      <c r="A98" s="2" t="s">
        <v>21</v>
      </c>
      <c r="B98" s="2" t="s">
        <v>12</v>
      </c>
      <c r="C98" s="2" t="s">
        <v>17</v>
      </c>
      <c r="D98" s="2">
        <v>62</v>
      </c>
      <c r="E98" s="2">
        <v>8308</v>
      </c>
      <c r="F98" s="3">
        <v>5244</v>
      </c>
      <c r="G98" s="3">
        <v>43567152</v>
      </c>
      <c r="H98" s="3">
        <v>30019999</v>
      </c>
      <c r="I98" s="3">
        <v>13547153</v>
      </c>
      <c r="J98" s="2">
        <v>54</v>
      </c>
      <c r="K98" s="2">
        <v>8</v>
      </c>
    </row>
    <row r="99" spans="1:11" x14ac:dyDescent="0.3">
      <c r="A99" s="2" t="s">
        <v>21</v>
      </c>
      <c r="B99" s="2" t="s">
        <v>15</v>
      </c>
      <c r="C99" s="2" t="s">
        <v>16</v>
      </c>
      <c r="D99" s="2">
        <v>103</v>
      </c>
      <c r="E99" s="2">
        <v>12875</v>
      </c>
      <c r="F99" s="3">
        <v>5882</v>
      </c>
      <c r="G99" s="3">
        <v>75730750</v>
      </c>
      <c r="H99" s="3">
        <v>61873639</v>
      </c>
      <c r="I99" s="3">
        <v>13857111</v>
      </c>
      <c r="J99" s="2">
        <v>92</v>
      </c>
      <c r="K99" s="2">
        <v>11</v>
      </c>
    </row>
    <row r="100" spans="1:11" x14ac:dyDescent="0.3">
      <c r="A100" s="2" t="s">
        <v>21</v>
      </c>
      <c r="B100" s="2" t="s">
        <v>15</v>
      </c>
      <c r="C100" s="2" t="s">
        <v>17</v>
      </c>
      <c r="D100" s="2">
        <v>77</v>
      </c>
      <c r="E100" s="2">
        <v>8470</v>
      </c>
      <c r="F100" s="3">
        <v>6426</v>
      </c>
      <c r="G100" s="3">
        <v>54428220</v>
      </c>
      <c r="H100" s="3">
        <v>37201089</v>
      </c>
      <c r="I100" s="3">
        <v>17227131</v>
      </c>
      <c r="J100" s="2">
        <v>68</v>
      </c>
      <c r="K100" s="2">
        <v>9</v>
      </c>
    </row>
    <row r="101" spans="1:11" x14ac:dyDescent="0.3">
      <c r="A101" s="2" t="s">
        <v>21</v>
      </c>
      <c r="B101" s="2" t="s">
        <v>14</v>
      </c>
      <c r="C101" s="2" t="s">
        <v>18</v>
      </c>
      <c r="D101" s="2">
        <v>73</v>
      </c>
      <c r="E101" s="2">
        <v>7957</v>
      </c>
      <c r="F101" s="3">
        <v>7699</v>
      </c>
      <c r="G101" s="3">
        <v>61260943</v>
      </c>
      <c r="H101" s="3">
        <v>52213400</v>
      </c>
      <c r="I101" s="3">
        <v>9047543</v>
      </c>
      <c r="J101" s="2">
        <v>68</v>
      </c>
      <c r="K101" s="2">
        <v>5</v>
      </c>
    </row>
  </sheetData>
  <autoFilter ref="A1:K1" xr:uid="{5E86B2BA-84E0-4C57-BF57-4BC56D824E5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3EB0-00A2-4B4D-AA14-C51051D2937C}">
  <dimension ref="B3:L33"/>
  <sheetViews>
    <sheetView zoomScale="46" zoomScaleNormal="87" workbookViewId="0">
      <selection activeCell="G61" sqref="G61"/>
    </sheetView>
  </sheetViews>
  <sheetFormatPr defaultRowHeight="14.4" x14ac:dyDescent="0.3"/>
  <cols>
    <col min="1" max="1" width="13.77734375" bestFit="1" customWidth="1"/>
    <col min="2" max="2" width="19.44140625" bestFit="1" customWidth="1"/>
    <col min="3" max="3" width="26.21875" bestFit="1" customWidth="1"/>
    <col min="4" max="4" width="12.109375" bestFit="1" customWidth="1"/>
    <col min="5" max="5" width="19.6640625" bestFit="1" customWidth="1"/>
    <col min="6" max="6" width="19.44140625" bestFit="1" customWidth="1"/>
    <col min="7" max="7" width="17" bestFit="1" customWidth="1"/>
    <col min="8" max="8" width="13.77734375" bestFit="1" customWidth="1"/>
    <col min="9" max="9" width="13.5546875" bestFit="1" customWidth="1"/>
    <col min="10" max="10" width="19.44140625" bestFit="1" customWidth="1"/>
    <col min="11" max="11" width="25" bestFit="1" customWidth="1"/>
    <col min="12" max="12" width="22.21875" bestFit="1" customWidth="1"/>
    <col min="13" max="13" width="13.33203125" bestFit="1" customWidth="1"/>
    <col min="14" max="15" width="13.77734375" bestFit="1" customWidth="1"/>
    <col min="16" max="16" width="13" bestFit="1" customWidth="1"/>
    <col min="17" max="17" width="19.77734375" bestFit="1" customWidth="1"/>
    <col min="18" max="18" width="12.5546875" bestFit="1" customWidth="1"/>
    <col min="19" max="19" width="21.6640625" bestFit="1" customWidth="1"/>
    <col min="23" max="23" width="12.5546875" bestFit="1" customWidth="1"/>
    <col min="24" max="24" width="19.6640625" bestFit="1" customWidth="1"/>
    <col min="29" max="29" width="13.77734375" bestFit="1" customWidth="1"/>
    <col min="30" max="30" width="20.6640625" bestFit="1" customWidth="1"/>
  </cols>
  <sheetData>
    <row r="3" spans="2:12" ht="18" x14ac:dyDescent="0.35">
      <c r="B3" s="10" t="s">
        <v>35</v>
      </c>
      <c r="F3" s="10" t="s">
        <v>38</v>
      </c>
      <c r="J3" s="10" t="s">
        <v>39</v>
      </c>
    </row>
    <row r="4" spans="2:12" x14ac:dyDescent="0.3">
      <c r="B4" s="7" t="s">
        <v>31</v>
      </c>
      <c r="C4" t="s">
        <v>33</v>
      </c>
      <c r="F4" s="7" t="s">
        <v>31</v>
      </c>
      <c r="G4" t="s">
        <v>34</v>
      </c>
      <c r="J4" s="7" t="s">
        <v>31</v>
      </c>
      <c r="K4" t="s">
        <v>36</v>
      </c>
    </row>
    <row r="5" spans="2:12" x14ac:dyDescent="0.3">
      <c r="B5" s="8" t="s">
        <v>15</v>
      </c>
      <c r="C5" s="9">
        <v>2850381558</v>
      </c>
      <c r="F5" s="8" t="s">
        <v>21</v>
      </c>
      <c r="G5" s="9">
        <v>458441147</v>
      </c>
      <c r="J5" s="8" t="s">
        <v>15</v>
      </c>
      <c r="K5" s="11">
        <v>432608</v>
      </c>
      <c r="L5" s="12"/>
    </row>
    <row r="6" spans="2:12" x14ac:dyDescent="0.3">
      <c r="B6" s="8" t="s">
        <v>14</v>
      </c>
      <c r="C6" s="9">
        <v>2467271800</v>
      </c>
      <c r="F6" s="8" t="s">
        <v>11</v>
      </c>
      <c r="G6" s="9">
        <v>449212566</v>
      </c>
      <c r="J6" s="8" t="s">
        <v>14</v>
      </c>
      <c r="K6">
        <v>373011</v>
      </c>
    </row>
    <row r="7" spans="2:12" x14ac:dyDescent="0.3">
      <c r="B7" s="8" t="s">
        <v>12</v>
      </c>
      <c r="C7" s="9">
        <v>2688742600</v>
      </c>
      <c r="F7" s="8" t="s">
        <v>19</v>
      </c>
      <c r="G7" s="9">
        <v>473207030</v>
      </c>
      <c r="J7" s="8" t="s">
        <v>12</v>
      </c>
      <c r="K7">
        <v>401500</v>
      </c>
    </row>
    <row r="8" spans="2:12" x14ac:dyDescent="0.3">
      <c r="B8" s="14" t="s">
        <v>32</v>
      </c>
      <c r="C8" s="9">
        <v>8006395958</v>
      </c>
      <c r="F8" s="8" t="s">
        <v>20</v>
      </c>
      <c r="G8" s="9">
        <v>429668821</v>
      </c>
      <c r="J8" s="8" t="s">
        <v>32</v>
      </c>
      <c r="K8">
        <v>1207119</v>
      </c>
    </row>
    <row r="9" spans="2:12" x14ac:dyDescent="0.3">
      <c r="F9" s="8" t="s">
        <v>32</v>
      </c>
      <c r="G9" s="9">
        <v>1810529564</v>
      </c>
    </row>
    <row r="27" spans="2:11" ht="18" x14ac:dyDescent="0.35">
      <c r="B27" s="10" t="s">
        <v>40</v>
      </c>
      <c r="F27" s="10" t="s">
        <v>41</v>
      </c>
      <c r="J27" s="10" t="s">
        <v>3</v>
      </c>
    </row>
    <row r="28" spans="2:11" x14ac:dyDescent="0.3">
      <c r="B28" s="7" t="s">
        <v>31</v>
      </c>
      <c r="C28" t="s">
        <v>33</v>
      </c>
      <c r="F28" s="7" t="s">
        <v>31</v>
      </c>
      <c r="G28" t="s">
        <v>37</v>
      </c>
      <c r="J28" s="7" t="s">
        <v>31</v>
      </c>
      <c r="K28" t="s">
        <v>42</v>
      </c>
    </row>
    <row r="29" spans="2:11" x14ac:dyDescent="0.3">
      <c r="B29" s="8" t="s">
        <v>18</v>
      </c>
      <c r="C29" s="9">
        <v>1492996790</v>
      </c>
      <c r="F29" s="8" t="s">
        <v>15</v>
      </c>
      <c r="G29" s="13">
        <v>360</v>
      </c>
      <c r="J29" s="8" t="s">
        <v>21</v>
      </c>
      <c r="K29" s="13">
        <v>2545</v>
      </c>
    </row>
    <row r="30" spans="2:11" x14ac:dyDescent="0.3">
      <c r="B30" s="8" t="s">
        <v>16</v>
      </c>
      <c r="C30" s="9">
        <v>1820660570</v>
      </c>
      <c r="F30" s="8" t="s">
        <v>14</v>
      </c>
      <c r="G30" s="13">
        <v>295</v>
      </c>
      <c r="J30" s="8" t="s">
        <v>11</v>
      </c>
      <c r="K30" s="13">
        <v>2596</v>
      </c>
    </row>
    <row r="31" spans="2:11" x14ac:dyDescent="0.3">
      <c r="B31" s="8" t="s">
        <v>13</v>
      </c>
      <c r="C31" s="9">
        <v>1945120648</v>
      </c>
      <c r="F31" s="8" t="s">
        <v>12</v>
      </c>
      <c r="G31" s="13">
        <v>323</v>
      </c>
      <c r="J31" s="8" t="s">
        <v>19</v>
      </c>
      <c r="K31" s="13">
        <v>2269</v>
      </c>
    </row>
    <row r="32" spans="2:11" x14ac:dyDescent="0.3">
      <c r="B32" s="8" t="s">
        <v>17</v>
      </c>
      <c r="C32" s="9">
        <v>2747617950</v>
      </c>
      <c r="F32" s="8" t="s">
        <v>32</v>
      </c>
      <c r="G32" s="13">
        <v>978</v>
      </c>
      <c r="J32" s="8" t="s">
        <v>20</v>
      </c>
      <c r="K32" s="13">
        <v>2307</v>
      </c>
    </row>
    <row r="33" spans="2:11" x14ac:dyDescent="0.3">
      <c r="B33" s="8" t="s">
        <v>32</v>
      </c>
      <c r="C33" s="9">
        <v>8006395958</v>
      </c>
      <c r="J33" s="8" t="s">
        <v>32</v>
      </c>
      <c r="K33" s="13">
        <v>9717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24C56-CA53-41DB-9AD5-7F5E9730E270}">
  <dimension ref="A1"/>
  <sheetViews>
    <sheetView showGridLines="0" showRowColHeaders="0" tabSelected="1" zoomScale="60" zoomScaleNormal="62" workbookViewId="0">
      <selection activeCell="S45" sqref="S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Calculations</vt:lpstr>
      <vt:lpstr>Pivot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Kishore K</cp:lastModifiedBy>
  <dcterms:created xsi:type="dcterms:W3CDTF">2026-09-09T11:55:34Z</dcterms:created>
  <dcterms:modified xsi:type="dcterms:W3CDTF">2026-09-25T08:42:06Z</dcterms:modified>
</cp:coreProperties>
</file>